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62bed0b45625b526/Downloads/"/>
    </mc:Choice>
  </mc:AlternateContent>
  <xr:revisionPtr revIDLastSave="77" documentId="13_ncr:1_{9B997EEB-7916-4D71-823D-9183477A5203}" xr6:coauthVersionLast="47" xr6:coauthVersionMax="47" xr10:uidLastSave="{3B5A1991-8E5F-4B1C-9434-326535F4E1B6}"/>
  <bookViews>
    <workbookView xWindow="-108" yWindow="-108" windowWidth="30936" windowHeight="16776" xr2:uid="{D35593D8-ABCE-4EA8-921D-2F7793671AB9}"/>
  </bookViews>
  <sheets>
    <sheet name="DRM Diagnostic" sheetId="1" r:id="rId1"/>
    <sheet name="Summary (to be hidde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F8" i="2"/>
  <c r="D8" i="2"/>
  <c r="F3" i="2" l="1"/>
  <c r="I2" i="2"/>
  <c r="F4" i="2"/>
  <c r="E9" i="1"/>
  <c r="E8" i="2"/>
  <c r="E13" i="2"/>
  <c r="D13" i="2"/>
  <c r="G14" i="2"/>
  <c r="F14" i="2"/>
  <c r="E14" i="2"/>
  <c r="D14" i="2"/>
  <c r="I14" i="2" s="1"/>
  <c r="G13" i="2"/>
  <c r="F13" i="2"/>
  <c r="G12" i="2"/>
  <c r="F12" i="2"/>
  <c r="E12" i="2"/>
  <c r="D12" i="2"/>
  <c r="G11" i="2"/>
  <c r="F11" i="2"/>
  <c r="E11" i="2"/>
  <c r="D11" i="2"/>
  <c r="I11" i="2" s="1"/>
  <c r="F10" i="2"/>
  <c r="G10" i="2"/>
  <c r="E10" i="2"/>
  <c r="D10" i="2"/>
  <c r="G9" i="2"/>
  <c r="F9" i="2"/>
  <c r="E9" i="2"/>
  <c r="D9" i="2"/>
  <c r="G8" i="2"/>
  <c r="D7" i="2"/>
  <c r="G7" i="2"/>
  <c r="F7" i="2"/>
  <c r="E7" i="2"/>
  <c r="G6" i="2"/>
  <c r="F6" i="2"/>
  <c r="E6" i="2"/>
  <c r="D6" i="2"/>
  <c r="G5" i="2"/>
  <c r="F5" i="2"/>
  <c r="E5" i="2"/>
  <c r="D5" i="2"/>
  <c r="G4" i="2"/>
  <c r="E4" i="2"/>
  <c r="D4" i="2"/>
  <c r="G3" i="2"/>
  <c r="E3" i="2"/>
  <c r="I10" i="2" l="1"/>
  <c r="I13" i="2"/>
  <c r="I6" i="2"/>
  <c r="I7" i="2"/>
  <c r="I4" i="2"/>
  <c r="I12" i="2"/>
  <c r="I3" i="2"/>
  <c r="I9" i="2"/>
  <c r="I8" i="2"/>
  <c r="I5" i="2"/>
  <c r="E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tc={2BBD4D18-FB9F-47D5-A404-C140237E68FF}</author>
    <author>tc={FA115FA3-ACF6-47BA-B472-00565F28C137}</author>
    <author>tc={D3EF2F90-78C1-4E7F-A650-9E3516C3AA07}</author>
    <author>tc={7E5F5849-B41F-4271-A547-B5C6E5AD55B1}</author>
  </authors>
  <commentList>
    <comment ref="J13" authorId="0" shapeId="0" xr:uid="{2BBD4D18-FB9F-47D5-A404-C140237E68FF}">
      <text>
        <t>[Threaded comment]
Your version of Excel allows you to read this threaded comment; however, any edits to it will get removed if the file is opened in a newer version of Excel. Learn more: https://go.microsoft.com/fwlink/?linkid=870924
Comment:
    Remove question 2 and 3 for sure. Not sure what to do about gender? Here it makes sense to keep it.</t>
      </text>
    </comment>
    <comment ref="H18" authorId="1" shapeId="0" xr:uid="{FA115FA3-ACF6-47BA-B472-00565F28C137}">
      <text>
        <t>[Threaded comment]
Your version of Excel allows you to read this threaded comment; however, any edits to it will get removed if the file is opened in a newer version of Excel. Learn more: https://go.microsoft.com/fwlink/?linkid=870924
Comment:
    Quitaría “Since the adoption of the NDS” (que estaba al inicio) y pondría “most recent” al final</t>
      </text>
    </comment>
    <comment ref="F37" authorId="2" shapeId="0" xr:uid="{D3EF2F90-78C1-4E7F-A650-9E3516C3AA07}">
      <text>
        <t>[Threaded comment]
Your version of Excel allows you to read this threaded comment; however, any edits to it will get removed if the file is opened in a newer version of Excel. Learn more: https://go.microsoft.com/fwlink/?linkid=870924
Comment:
    Esta pregunta la he fusionado con la anterior por lo que se podría borrar</t>
      </text>
    </comment>
    <comment ref="F39" authorId="3" shapeId="0" xr:uid="{7E5F5849-B41F-4271-A547-B5C6E5AD55B1}">
      <text>
        <t>[Threaded comment]
Your version of Excel allows you to read this threaded comment; however, any edits to it will get removed if the file is opened in a newer version of Excel. Learn more: https://go.microsoft.com/fwlink/?linkid=870924
Comment:
    Esta en parte se contesta con la H39 por lo que la quitaría</t>
      </text>
    </comment>
  </commentList>
</comments>
</file>

<file path=xl/sharedStrings.xml><?xml version="1.0" encoding="utf-8"?>
<sst xmlns="http://schemas.openxmlformats.org/spreadsheetml/2006/main" count="193" uniqueCount="115">
  <si>
    <t>DRM Pillar</t>
  </si>
  <si>
    <t>Legal and institutional set up</t>
  </si>
  <si>
    <t>Key DRM achievements</t>
  </si>
  <si>
    <t>Policy enablers</t>
  </si>
  <si>
    <t>1. Legal and Institutional DRM Framework</t>
  </si>
  <si>
    <t>1.1. DRM policies and institutions</t>
  </si>
  <si>
    <t xml:space="preserve">Did the institution responsible for coordinating or leading DRM activities receive dedicated funding for these functions in the last fiscal year? </t>
  </si>
  <si>
    <t xml:space="preserve">Yes/No: </t>
  </si>
  <si>
    <t>1.2. Mainstreaming DRM into national and sectoral development plans</t>
  </si>
  <si>
    <t>Does the National Development Strategy (or equivalent national planning instrument) contain objectives, targets or indicators related to DRM and/or CCA?</t>
  </si>
  <si>
    <t>2. Risk Identification</t>
  </si>
  <si>
    <t>-</t>
  </si>
  <si>
    <t>Do available national risk assessments or disaster risk profiles account for the potential impacts of climate change?</t>
  </si>
  <si>
    <t>3. Risk Reduction</t>
  </si>
  <si>
    <t>3.1. Territorial and urban planning</t>
  </si>
  <si>
    <t>Do official methodologies to guide the development of risk-informed territorial, spatial, land use or urban planning instruments exist?</t>
  </si>
  <si>
    <t>Have at least 50% of the instruments (territorial, spatial, land use or urban planning) approved in the last 4 years used risk information (e.g., hazard maps, risk assessments)?</t>
  </si>
  <si>
    <t>3.2. Public investment at the central level</t>
  </si>
  <si>
    <t>Do laws and regulations mandate disaster and climate risk screening as part of the appraisal of new public investment projects?</t>
  </si>
  <si>
    <t>Are risk mitigation measures in place for new projects that have been appraised as high-risk (or equivalent) through the disaster and climate screening process?</t>
  </si>
  <si>
    <t xml:space="preserve">(1) Do the regulations governing environmental impact assessments (or equivalent process) include specific provisions for disaster risk analysis?
(2) Are Public-Private Partnership projects also included in climate and disaster risk screening? </t>
  </si>
  <si>
    <t>3.3. Sector-specific risk reduction measures</t>
  </si>
  <si>
    <t>Are there legally binding standards or technical guidelines for the design and construction of disaster-resilient critical infrastructure in the following sectors: 
(1) transport (roads)
(2) education (schools) 
(3) health (hospitals)
(4) energy infrastructure?</t>
  </si>
  <si>
    <t>Is there at least one legally binding building code or standard that requires earthquake-resistant or other hazard-resistant (e.g., wind, flood) design for buildings?</t>
  </si>
  <si>
    <t>Is there an asset management system for public infrastructure that includes disaster risk analysis?</t>
  </si>
  <si>
    <t>Over the last 4 years: 
(1) have any watershed basins undergone improvements in water management?
(2) has the percentage of urban residents with access to sewage services been maintained or increased?</t>
  </si>
  <si>
    <t xml:space="preserve">Are water governance policy documents considering changes to rainfall patterns under different climate scenarios? </t>
  </si>
  <si>
    <t>4. Preparedness</t>
  </si>
  <si>
    <t>4.1. Early Warning Systems (EWS)</t>
  </si>
  <si>
    <t>Do institutions involved in EWS—data producers, decision-makers, and implementers of preparedness and response—operate under an established, functional coordination mechanism, evidenced by formal arrangements such as MoUs or regular coordination platform meetings?</t>
  </si>
  <si>
    <t xml:space="preserve">Over the most recent major disaster, was the population promptly alerted (e.g., via SMS or other tailored communication channels)? </t>
  </si>
  <si>
    <t>Over the past four years, has there been at least one budget allocation for the expansion, maintenance, or operation of the hydrometeorological network?</t>
  </si>
  <si>
    <t>4.2. Emergency Preparedness and Response (EP&amp;R)</t>
  </si>
  <si>
    <t xml:space="preserve">Is there a legal framework for EP&amp;R clearly defining the roles and responsibilities of institutions involved in disaster management? </t>
  </si>
  <si>
    <t>Have at least 75% of the subnational EP&amp;R entities mandated by EP&amp;R law and regulations (or equivalent) been officially established?</t>
  </si>
  <si>
    <t xml:space="preserve">Do emergency preparedness plans incorporate gender-sensitive measures, such as gender-based violence prevention, safe shelters, and women's specific needs during evacuation and displacement? </t>
  </si>
  <si>
    <t>4.3. Adaptive Social Protection (ASP)</t>
  </si>
  <si>
    <t>Is there a legal framework clearly defining the roles and responsibilities of institutions involved in ASP (e.g., social protection, finance, DRM)?</t>
  </si>
  <si>
    <t>Is there a unified social registry incorporating exposure and vulnerability data to facilitate the targeting of population potentially affected in case of disaster or climate-related shocks?</t>
  </si>
  <si>
    <t xml:space="preserve">Are there pre-arranged financing mechanisms that can be specifically used to support timely scaling-up of regular SP programs? </t>
  </si>
  <si>
    <t>5. Financial Protection</t>
  </si>
  <si>
    <t>5.1. Fiscal risk management</t>
  </si>
  <si>
    <t>Are contingent liabilities associated with disasters quantified through an established methodology for the major hazards?</t>
  </si>
  <si>
    <t>Has the government conducted stress tests of public debt that include disaster or climate-related scenarios?</t>
  </si>
  <si>
    <t>5.2. Disaster Risk Financing (DRF) strategies and instruments</t>
  </si>
  <si>
    <t>Is there a legal or policy framework that outlines a layered Disaster Risk Financing (DRF) strategy combining risk retention and risk transfer instruments?</t>
  </si>
  <si>
    <t>6. Resilient Reconstruction</t>
  </si>
  <si>
    <t>Are there laws or regulations that establish the institutions responsible for coordinating post-disaster recovery and reconstruction?</t>
  </si>
  <si>
    <t>Have at least 50% of the essential government entities approved ex-ante sector-specific reconstruction guidelines?</t>
  </si>
  <si>
    <r>
      <rPr>
        <sz val="11"/>
        <color rgb="FF000000"/>
        <rFont val="Aptos Narrow"/>
        <scheme val="minor"/>
      </rPr>
      <t xml:space="preserve">After the most recent major disaster, have the zoning, land use or territorial planning instruments in the affected areas been reviewed to </t>
    </r>
    <r>
      <rPr>
        <i/>
        <sz val="11"/>
        <color rgb="FF000000"/>
        <rFont val="Aptos Narrow"/>
        <scheme val="minor"/>
      </rPr>
      <t>build back better</t>
    </r>
    <r>
      <rPr>
        <sz val="11"/>
        <color rgb="FF000000"/>
        <rFont val="Aptos Narrow"/>
        <scheme val="minor"/>
      </rPr>
      <t>?</t>
    </r>
  </si>
  <si>
    <t>Have guidelines or regulations to conduct post-disaster damage and needs assessments been developed and approved?</t>
  </si>
  <si>
    <t>Do at least half of the essential government entities use existing risk information to inform their sectoral planning processes?</t>
  </si>
  <si>
    <t xml:space="preserve">Over the last 4 years, is there at least one public project/program that has received a budget allocation for retrofitting works based on vulnerability assessments and resilient standards? </t>
  </si>
  <si>
    <t>Intermediary DRM outputs</t>
  </si>
  <si>
    <t xml:space="preserve">(1) Yes/No: </t>
  </si>
  <si>
    <t xml:space="preserve">(2) Yes/No: </t>
  </si>
  <si>
    <t xml:space="preserve">(3) Yes/No: </t>
  </si>
  <si>
    <t>(3) Yes/No:</t>
  </si>
  <si>
    <t>(4) Yes/No:</t>
  </si>
  <si>
    <t>(1) Yes/No:</t>
  </si>
  <si>
    <t>* Essential government entities refer to the main ministry or agency in charge of the followings sectors: Agriculture, Education, Housing, Health, Energy, Tourism, Transport, Water and Sanitation.</t>
  </si>
  <si>
    <t>DRM policies and institutions</t>
  </si>
  <si>
    <t>Mainstreaming DRM into national and sectoral development plans</t>
  </si>
  <si>
    <t>Risk Identification</t>
  </si>
  <si>
    <t>Territorial and urban planning</t>
  </si>
  <si>
    <t>Public investment at the central level</t>
  </si>
  <si>
    <t>Sector-specific risk reduction measures</t>
  </si>
  <si>
    <t>Fiscal risk management</t>
  </si>
  <si>
    <t>Resilient Reconstruction</t>
  </si>
  <si>
    <t>Legal and Institutional DRM Framework</t>
  </si>
  <si>
    <t>Risk Reduction</t>
  </si>
  <si>
    <t>Preparedness</t>
  </si>
  <si>
    <t>Financial Protection</t>
  </si>
  <si>
    <t>Instructions</t>
  </si>
  <si>
    <t xml:space="preserve">https://cat-ddo-drm-diagnostic-dashboard.onrender.com </t>
  </si>
  <si>
    <t>DRM System - Diagnostic</t>
  </si>
  <si>
    <t xml:space="preserve">Number of questions unanswered: </t>
  </si>
  <si>
    <t>1. Answer the questions in the following matrix.</t>
  </si>
  <si>
    <t>2. Go to the following website. The website may take some time to load. Please retry if needed.</t>
  </si>
  <si>
    <t>3. Copy and Paste Cell E7 to the website</t>
  </si>
  <si>
    <t>Thematic Area</t>
  </si>
  <si>
    <t>DRF strategies and instruments</t>
  </si>
  <si>
    <t>Risk identification</t>
  </si>
  <si>
    <t>Early warning systems</t>
  </si>
  <si>
    <t>Emergency preparedness and response</t>
  </si>
  <si>
    <t>Adaptive social protection</t>
  </si>
  <si>
    <t>Resilient reconstruction</t>
  </si>
  <si>
    <t>(1) Are gender-specific considerations included in DRM legal frameworks? 
(2) Is climate change and its potential impact on disaster risk included in DRM legal frameworks? 
(3) When they exist, do climate change laws and regulations (such as climate laws or climate adaptation policy/strategies) contain disaster risk management as a target, aim, means, or result?</t>
  </si>
  <si>
    <t>Do laws and regulations mandate the use of risk information (e.g., hazard maps, risk assessments...) to develop territorial, spatial, land use, or urban planning instruments?</t>
  </si>
  <si>
    <t xml:space="preserve">Do official guidelines exist defining disaster and climate risk screening methodologies for new public investment projects? </t>
  </si>
  <si>
    <t>Are there legal and institutional arrangements for integrated water resources management (IWRM) that explicitly incorporate flood and drought risk considerations?</t>
  </si>
  <si>
    <t>sheet password is 1234</t>
  </si>
  <si>
    <t>Since the adoption of the DRM legal framework: 
(1) have DRM policy instruments (e.g., DRM strategies or policies) been officially approved? 
(2)  have DRM-related regulations (e.g., rules on the structure or functions of the DRM agency) been officially approved?</t>
  </si>
  <si>
    <t>Is there a reporting or monitoring mechanism to track progress toward DRM and/or CCA targets included in the National Development Strategies?</t>
  </si>
  <si>
    <t>Do key fiscal policy documents (e.g., the medium-term fiscal framework or fiscal risk statements) include quantified assessments of disaster risks?</t>
  </si>
  <si>
    <t>Over the past 4 years, has the $ amount of financing that can be mobilized through sovereign risk financing instruments increased?</t>
  </si>
  <si>
    <t>Do laws and regulations clearly define institutional responsibilities and mandates for producing, acquiring, and managing geospatial information, including risk information (e.g., hazard information, vulnerability assessments, risk profiles, historical disaster databases)?</t>
  </si>
  <si>
    <t>Are there legal and institutional arrangements for water supply and sanitation in urban areas that take flood risk into account?</t>
  </si>
  <si>
    <t>Question 1</t>
  </si>
  <si>
    <t>Question 2</t>
  </si>
  <si>
    <t>Question 3</t>
  </si>
  <si>
    <t>Question 4</t>
  </si>
  <si>
    <r>
      <t xml:space="preserve">Is there a legal framework (e.g., a DRM law or other </t>
    </r>
    <r>
      <rPr>
        <sz val="10"/>
        <color rgb="FFFF0000"/>
        <rFont val="Calibri"/>
        <family val="2"/>
      </rPr>
      <t>legally-binding</t>
    </r>
    <r>
      <rPr>
        <sz val="10"/>
        <color theme="1"/>
        <rFont val="Calibri"/>
        <family val="2"/>
        <charset val="1"/>
      </rPr>
      <t xml:space="preserve"> instruments) defining distinct </t>
    </r>
    <r>
      <rPr>
        <sz val="10"/>
        <color rgb="FFFF0000"/>
        <rFont val="Calibri"/>
        <family val="2"/>
      </rPr>
      <t>responsibilities</t>
    </r>
    <r>
      <rPr>
        <sz val="10"/>
        <color theme="1"/>
        <rFont val="Calibri"/>
        <family val="2"/>
        <charset val="1"/>
      </rPr>
      <t xml:space="preserve"> for disaster risk reduction and emergency management?</t>
    </r>
  </si>
  <si>
    <r>
      <t>Have at least 50% of essential government entities*</t>
    </r>
    <r>
      <rPr>
        <sz val="10"/>
        <color theme="1"/>
        <rFont val="Calibri"/>
        <charset val="1"/>
      </rPr>
      <t xml:space="preserve"> included explicit DRM and/or CCA targets and indicators in their </t>
    </r>
    <r>
      <rPr>
        <sz val="10"/>
        <color rgb="FFFF0000"/>
        <rFont val="Calibri"/>
        <family val="2"/>
      </rPr>
      <t>most recent</t>
    </r>
    <r>
      <rPr>
        <sz val="10"/>
        <color theme="1"/>
        <rFont val="Calibri"/>
        <charset val="1"/>
      </rPr>
      <t xml:space="preserve"> strategic planning documents?</t>
    </r>
  </si>
  <si>
    <r>
      <t xml:space="preserve">Is the integration of DRM considerations into sectoral planning documents coordinated at the central level and </t>
    </r>
    <r>
      <rPr>
        <sz val="10"/>
        <color rgb="FFFF0000"/>
        <rFont val="Calibri"/>
        <family val="2"/>
      </rPr>
      <t>supported</t>
    </r>
    <r>
      <rPr>
        <sz val="10"/>
        <color theme="1"/>
        <rFont val="Calibri"/>
        <charset val="1"/>
      </rPr>
      <t xml:space="preserve">/guided by norms, </t>
    </r>
    <r>
      <rPr>
        <sz val="10"/>
        <color rgb="FFFF0000"/>
        <rFont val="Calibri"/>
        <family val="2"/>
      </rPr>
      <t>tools</t>
    </r>
    <r>
      <rPr>
        <sz val="10"/>
        <color theme="1"/>
        <rFont val="Calibri"/>
        <charset val="1"/>
      </rPr>
      <t xml:space="preserve"> and clear standards? </t>
    </r>
  </si>
  <si>
    <r>
      <t xml:space="preserve">Is existing hazard and risk information: 
(1) available to all essential government entities (e.g., </t>
    </r>
    <r>
      <rPr>
        <sz val="10"/>
        <color rgb="FFFF0000"/>
        <rFont val="Calibri"/>
        <family val="2"/>
      </rPr>
      <t>as evidenced</t>
    </r>
    <r>
      <rPr>
        <sz val="10"/>
        <color theme="1"/>
        <rFont val="Calibri"/>
        <charset val="1"/>
      </rPr>
      <t xml:space="preserve"> through a set of MoUs</t>
    </r>
    <r>
      <rPr>
        <sz val="10"/>
        <color rgb="FFFF0000"/>
        <rFont val="Calibri"/>
        <family val="2"/>
      </rPr>
      <t xml:space="preserve"> or formal exchange mechanisms</t>
    </r>
    <r>
      <rPr>
        <sz val="10"/>
        <color theme="1"/>
        <rFont val="Calibri"/>
        <charset val="1"/>
      </rPr>
      <t>)? 
(2) accessible to all citizens through open-data platforms?</t>
    </r>
  </si>
  <si>
    <r>
      <rPr>
        <i/>
        <sz val="10"/>
        <color rgb="FFFF0000"/>
        <rFont val="Calibri"/>
        <family val="2"/>
      </rPr>
      <t xml:space="preserve">(1) Are there specific regulations governing the identification and zoning process of high-risk areas? </t>
    </r>
    <r>
      <rPr>
        <sz val="10"/>
        <color theme="1"/>
        <rFont val="Calibri"/>
        <family val="2"/>
        <charset val="1"/>
      </rPr>
      <t xml:space="preserve">
(2) Do guidelines or procedures for managing housing/ </t>
    </r>
    <r>
      <rPr>
        <sz val="10"/>
        <color rgb="FFFF0000"/>
        <rFont val="Calibri"/>
        <family val="2"/>
      </rPr>
      <t>settlments</t>
    </r>
    <r>
      <rPr>
        <sz val="10"/>
        <color theme="1"/>
        <rFont val="Calibri"/>
        <family val="2"/>
        <charset val="1"/>
      </rPr>
      <t xml:space="preserve"> located in high-risk areas exist?</t>
    </r>
  </si>
  <si>
    <t>Yes</t>
  </si>
  <si>
    <t>No</t>
  </si>
  <si>
    <r>
      <t>Is there a legal framework defining the roles and responsibility of institutions involved in Early Warning Systems —hazard data producers, decision-makers, and implementers of preparedness and response— a</t>
    </r>
    <r>
      <rPr>
        <sz val="10"/>
        <color rgb="FFFF0000"/>
        <rFont val="Calibri"/>
        <family val="2"/>
      </rPr>
      <t>nd establishing functional coordination mechanism, evidenced by formal arrangements such as MoUs or regular coordination platform</t>
    </r>
    <r>
      <rPr>
        <sz val="10"/>
        <color theme="1"/>
        <rFont val="Calibri"/>
        <family val="2"/>
        <charset val="1"/>
      </rPr>
      <t xml:space="preserve"> meetings? </t>
    </r>
  </si>
  <si>
    <r>
      <t xml:space="preserve">During the most recent disaster or climate-related shock, was support promptly provided to the population through social‐protection programs?  (e.g., cash transfers in the case of </t>
    </r>
    <r>
      <rPr>
        <sz val="10"/>
        <color rgb="FFFF0000"/>
        <rFont val="Calibri"/>
        <family val="2"/>
      </rPr>
      <t>flood</t>
    </r>
    <r>
      <rPr>
        <sz val="10"/>
        <color theme="1"/>
        <rFont val="Calibri"/>
        <family val="2"/>
        <charset val="1"/>
      </rPr>
      <t>/drought)?</t>
    </r>
  </si>
  <si>
    <r>
      <t xml:space="preserve">Has the Ministry of Finance created or tasked an existing institutional structure (e.g., department, unit, committee) to manage contingent liabilities and/or fiscal risks, explicitly including those associated with </t>
    </r>
    <r>
      <rPr>
        <sz val="10"/>
        <color rgb="FFFF0000"/>
        <rFont val="Calibri"/>
        <family val="2"/>
      </rPr>
      <t>disasters and/or climate-related shocks</t>
    </r>
    <r>
      <rPr>
        <sz val="10"/>
        <color theme="1"/>
        <rFont val="Calibri"/>
        <family val="2"/>
        <charset val="1"/>
      </rPr>
      <t xml:space="preserve">? </t>
    </r>
  </si>
  <si>
    <r>
      <rPr>
        <i/>
        <sz val="10"/>
        <color rgb="FFFF0000"/>
        <rFont val="Calibri"/>
        <family val="2"/>
      </rPr>
      <t xml:space="preserve">(1) Is the disaster fund (or equivalent mechanism) receiving a budget allocation? </t>
    </r>
    <r>
      <rPr>
        <sz val="10"/>
        <color theme="1"/>
        <rFont val="Calibri"/>
        <family val="2"/>
        <charset val="1"/>
      </rPr>
      <t xml:space="preserve">
(2) Are there regulations that define standards for catastrophe insurance coverage of public or private assets?</t>
    </r>
  </si>
  <si>
    <r>
      <t xml:space="preserve">(1) Do at least 75% of essential government entities have an emergency response protocol or operational continuity plan? 
(2) Do at least 75% of </t>
    </r>
    <r>
      <rPr>
        <sz val="10"/>
        <color rgb="FFFF0000"/>
        <rFont val="Calibri"/>
        <family val="2"/>
      </rPr>
      <t>existing</t>
    </r>
    <r>
      <rPr>
        <sz val="10"/>
        <color theme="1"/>
        <rFont val="Calibri"/>
        <family val="2"/>
        <charset val="1"/>
      </rPr>
      <t xml:space="preserve"> subnational EP&amp;R entities  (</t>
    </r>
    <r>
      <rPr>
        <sz val="10"/>
        <color rgb="FFFF0000"/>
        <rFont val="Calibri"/>
        <family val="2"/>
      </rPr>
      <t>e.g. Local Emergency Management Committee</t>
    </r>
    <r>
      <rPr>
        <sz val="10"/>
        <color theme="1"/>
        <rFont val="Calibri"/>
        <family val="2"/>
        <charset val="1"/>
      </rPr>
      <t>) have an approved contingency plan or emergency response protocol?</t>
    </r>
  </si>
  <si>
    <t>Are there sovereign risk financing instruments (e.g., disaster or emergency funds, contingent loans, insurance, cat bonds) in place to manage the financial impact of disasters and climate-related shocks?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</si>
</sst>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0"/>
      <color theme="1"/>
      <name val="Calibri"/>
      <family val="2"/>
      <charset val="1"/>
    </font>
    <font>
      <sz val="10"/>
      <color theme="1"/>
      <name val="Calibri"/>
      <charset val="1"/>
    </font>
    <font>
      <sz val="11"/>
      <color rgb="FF000000"/>
      <name val="Aptos Narrow"/>
      <scheme val="minor"/>
    </font>
    <font>
      <i/>
      <sz val="11"/>
      <color rgb="FFFF0000"/>
      <name val="Aptos Narrow"/>
      <family val="2"/>
      <scheme val="minor"/>
    </font>
    <font>
      <sz val="11"/>
      <color rgb="FF242424"/>
      <name val="Aptos Narrow"/>
      <charset val="1"/>
    </font>
    <font>
      <i/>
      <sz val="11"/>
      <color rgb="FF000000"/>
      <name val="Aptos Narrow"/>
      <scheme val="minor"/>
    </font>
    <font>
      <sz val="14"/>
      <color theme="1"/>
      <name val="Aptos Narrow"/>
      <family val="2"/>
      <scheme val="minor"/>
    </font>
    <font>
      <b/>
      <sz val="14"/>
      <color rgb="FF000000"/>
      <name val="Calibri"/>
      <family val="2"/>
    </font>
    <font>
      <b/>
      <sz val="14"/>
      <color theme="1"/>
      <name val="Calibri"/>
      <family val="2"/>
    </font>
    <font>
      <sz val="11"/>
      <color rgb="FF000000"/>
      <name val="Calibri"/>
      <family val="2"/>
    </font>
    <font>
      <sz val="11"/>
      <color theme="1"/>
      <name val="Calibri"/>
      <family val="2"/>
    </font>
    <font>
      <b/>
      <u/>
      <sz val="12"/>
      <color theme="0"/>
      <name val="Aptos Narrow"/>
      <family val="2"/>
      <scheme val="minor"/>
    </font>
    <font>
      <sz val="12"/>
      <color theme="0"/>
      <name val="Aptos Narrow"/>
      <family val="2"/>
      <scheme val="minor"/>
    </font>
    <font>
      <sz val="11"/>
      <color rgb="FF000000"/>
      <name val="Calibri"/>
    </font>
    <font>
      <sz val="10"/>
      <color theme="1"/>
      <name val="Calibri"/>
      <family val="2"/>
    </font>
    <font>
      <b/>
      <sz val="11"/>
      <color rgb="FFFA7D00"/>
      <name val="Aptos Narrow"/>
      <family val="2"/>
      <scheme val="minor"/>
    </font>
    <font>
      <b/>
      <sz val="11"/>
      <color theme="0"/>
      <name val="Aptos Narrow"/>
      <family val="2"/>
      <scheme val="minor"/>
    </font>
    <font>
      <sz val="11"/>
      <color theme="0"/>
      <name val="Aptos Narrow"/>
      <family val="2"/>
      <scheme val="minor"/>
    </font>
    <font>
      <b/>
      <sz val="15"/>
      <color theme="3"/>
      <name val="Aptos Narrow"/>
      <family val="2"/>
      <scheme val="minor"/>
    </font>
    <font>
      <sz val="11"/>
      <color rgb="FFFF0000"/>
      <name val="Aptos Narrow"/>
      <family val="2"/>
      <scheme val="minor"/>
    </font>
    <font>
      <i/>
      <sz val="11"/>
      <color rgb="FF7F7F7F"/>
      <name val="Aptos Narrow"/>
      <family val="2"/>
      <scheme val="minor"/>
    </font>
    <font>
      <u/>
      <sz val="11"/>
      <color theme="10"/>
      <name val="Aptos Narrow"/>
      <family val="2"/>
      <scheme val="minor"/>
    </font>
    <font>
      <b/>
      <sz val="18"/>
      <color theme="3"/>
      <name val="Aptos Narrow"/>
      <family val="2"/>
      <scheme val="minor"/>
    </font>
    <font>
      <i/>
      <sz val="12"/>
      <color rgb="FF7F7F7F"/>
      <name val="Aptos Narrow"/>
      <family val="2"/>
      <scheme val="minor"/>
    </font>
    <font>
      <b/>
      <u/>
      <sz val="14"/>
      <color theme="1"/>
      <name val="Aptos Narrow"/>
      <family val="2"/>
      <scheme val="minor"/>
    </font>
    <font>
      <sz val="11"/>
      <color theme="5" tint="-0.249977111117893"/>
      <name val="Aptos Narrow"/>
      <family val="2"/>
      <scheme val="minor"/>
    </font>
    <font>
      <sz val="10"/>
      <color rgb="FFFF0000"/>
      <name val="Calibri"/>
      <family val="2"/>
    </font>
    <font>
      <i/>
      <sz val="10"/>
      <color rgb="FFFF0000"/>
      <name val="Calibri"/>
      <family val="2"/>
    </font>
  </fonts>
  <fills count="6">
    <fill>
      <patternFill patternType="none"/>
    </fill>
    <fill>
      <patternFill patternType="gray125"/>
    </fill>
    <fill>
      <patternFill patternType="solid">
        <fgColor rgb="FFF2F2F2"/>
      </patternFill>
    </fill>
    <fill>
      <patternFill patternType="solid">
        <fgColor theme="4"/>
      </patternFill>
    </fill>
    <fill>
      <patternFill patternType="solid">
        <fgColor rgb="FFE6F0FA"/>
        <bgColor indexed="64"/>
      </patternFill>
    </fill>
    <fill>
      <patternFill patternType="solid">
        <fgColor rgb="FFC00000"/>
        <bgColor indexed="64"/>
      </patternFill>
    </fill>
  </fills>
  <borders count="35">
    <border>
      <left/>
      <right/>
      <top/>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rgb="FF000000"/>
      </right>
      <top style="medium">
        <color indexed="64"/>
      </top>
      <bottom/>
      <diagonal/>
    </border>
    <border>
      <left style="thin">
        <color rgb="FF000000"/>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rgb="FF000000"/>
      </right>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rgb="FF000000"/>
      </right>
      <top/>
      <bottom style="medium">
        <color indexed="64"/>
      </bottom>
      <diagonal/>
    </border>
    <border>
      <left style="thin">
        <color rgb="FF000000"/>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rgb="FF000000"/>
      </left>
      <right style="thin">
        <color indexed="64"/>
      </right>
      <top style="medium">
        <color indexed="64"/>
      </top>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right/>
      <top/>
      <bottom style="thick">
        <color theme="4"/>
      </bottom>
      <diagonal/>
    </border>
  </borders>
  <cellStyleXfs count="7">
    <xf numFmtId="0" fontId="0" fillId="0" borderId="0"/>
    <xf numFmtId="0" fontId="16" fillId="2" borderId="4" applyNumberFormat="0" applyBorder="0" applyAlignment="0" applyProtection="0"/>
    <xf numFmtId="0" fontId="18" fillId="3" borderId="0" applyNumberFormat="0" applyBorder="0" applyAlignment="0" applyProtection="0"/>
    <xf numFmtId="0" fontId="19" fillId="0" borderId="34" applyNumberFormat="0" applyFill="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cellStyleXfs>
  <cellXfs count="159">
    <xf numFmtId="0" fontId="0" fillId="0" borderId="0" xfId="0"/>
    <xf numFmtId="0" fontId="0" fillId="0" borderId="0" xfId="0" applyAlignment="1">
      <alignment vertical="center"/>
    </xf>
    <xf numFmtId="0" fontId="13" fillId="0" borderId="0" xfId="0" applyFont="1" applyAlignment="1">
      <alignment horizontal="center" vertical="center"/>
    </xf>
    <xf numFmtId="0" fontId="0" fillId="0" borderId="0" xfId="0" applyAlignment="1">
      <alignment wrapText="1"/>
    </xf>
    <xf numFmtId="0" fontId="5" fillId="0" borderId="0" xfId="0" applyFont="1" applyAlignment="1">
      <alignment wrapText="1"/>
    </xf>
    <xf numFmtId="0" fontId="7" fillId="0" borderId="0" xfId="0" applyFont="1"/>
    <xf numFmtId="0" fontId="0" fillId="0" borderId="0" xfId="0" applyAlignment="1">
      <alignment horizontal="left" vertical="center"/>
    </xf>
    <xf numFmtId="0" fontId="0" fillId="0" borderId="0" xfId="0" applyAlignment="1">
      <alignment horizontal="center"/>
    </xf>
    <xf numFmtId="0" fontId="0" fillId="0" borderId="0" xfId="0" applyAlignment="1">
      <alignment vertical="center" wrapText="1"/>
    </xf>
    <xf numFmtId="0" fontId="12"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vertical="center" wrapText="1"/>
    </xf>
    <xf numFmtId="0" fontId="3" fillId="0" borderId="0" xfId="0" applyFont="1" applyAlignment="1">
      <alignment vertical="center" wrapText="1"/>
    </xf>
    <xf numFmtId="0" fontId="0" fillId="0" borderId="5" xfId="0" applyBorder="1"/>
    <xf numFmtId="0" fontId="0" fillId="0" borderId="5" xfId="0" applyBorder="1" applyAlignment="1">
      <alignment wrapText="1"/>
    </xf>
    <xf numFmtId="0" fontId="16" fillId="2" borderId="0" xfId="1" applyBorder="1" applyAlignment="1">
      <alignment horizontal="left" vertical="center"/>
    </xf>
    <xf numFmtId="0" fontId="23" fillId="0" borderId="34" xfId="3" applyFont="1"/>
    <xf numFmtId="0" fontId="24" fillId="0" borderId="0" xfId="5" applyFont="1"/>
    <xf numFmtId="0" fontId="25" fillId="0" borderId="0" xfId="0" applyFont="1"/>
    <xf numFmtId="0" fontId="26" fillId="0" borderId="0" xfId="4" applyFont="1"/>
    <xf numFmtId="0" fontId="0" fillId="0" borderId="0" xfId="0" applyProtection="1">
      <protection locked="0"/>
    </xf>
    <xf numFmtId="0" fontId="17" fillId="3" borderId="12" xfId="2" applyFont="1" applyBorder="1" applyAlignment="1" applyProtection="1">
      <alignment horizontal="center" vertical="center" wrapText="1"/>
      <protection locked="0"/>
    </xf>
    <xf numFmtId="0" fontId="17" fillId="3" borderId="33" xfId="2" applyFont="1" applyBorder="1" applyAlignment="1" applyProtection="1">
      <alignment horizontal="center" vertical="center" wrapText="1"/>
      <protection locked="0"/>
    </xf>
    <xf numFmtId="0" fontId="1" fillId="4" borderId="8" xfId="0" applyFont="1" applyFill="1" applyBorder="1" applyAlignment="1" applyProtection="1">
      <alignment horizontal="right" vertical="center" wrapText="1"/>
      <protection locked="0"/>
    </xf>
    <xf numFmtId="49" fontId="16" fillId="2" borderId="9" xfId="1" applyNumberFormat="1" applyBorder="1" applyAlignment="1" applyProtection="1">
      <alignment horizontal="center" vertical="center" wrapText="1"/>
      <protection locked="0"/>
    </xf>
    <xf numFmtId="0" fontId="2" fillId="4" borderId="8" xfId="0" applyFont="1" applyFill="1" applyBorder="1" applyAlignment="1" applyProtection="1">
      <alignment horizontal="right" vertical="center" wrapText="1"/>
      <protection locked="0"/>
    </xf>
    <xf numFmtId="0" fontId="16" fillId="2" borderId="9" xfId="1" applyBorder="1" applyAlignment="1" applyProtection="1">
      <alignment horizontal="center" vertical="center" wrapText="1"/>
      <protection locked="0"/>
    </xf>
    <xf numFmtId="0" fontId="16" fillId="2" borderId="27" xfId="1" applyBorder="1" applyAlignment="1" applyProtection="1">
      <alignment horizontal="center" vertical="center" wrapText="1"/>
      <protection locked="0"/>
    </xf>
    <xf numFmtId="0" fontId="2" fillId="4" borderId="8" xfId="0" applyFont="1" applyFill="1" applyBorder="1" applyAlignment="1" applyProtection="1">
      <alignment vertical="center" wrapText="1"/>
      <protection locked="0"/>
    </xf>
    <xf numFmtId="0" fontId="1" fillId="4" borderId="0" xfId="0" applyFont="1" applyFill="1" applyAlignment="1" applyProtection="1">
      <alignment horizontal="right" vertical="center" wrapText="1"/>
      <protection locked="0"/>
    </xf>
    <xf numFmtId="0" fontId="2" fillId="4" borderId="8" xfId="0" applyFont="1" applyFill="1" applyBorder="1" applyAlignment="1" applyProtection="1">
      <alignment horizontal="center" vertical="center" wrapText="1"/>
      <protection locked="0"/>
    </xf>
    <xf numFmtId="0" fontId="15" fillId="4" borderId="8" xfId="0" applyFont="1" applyFill="1" applyBorder="1" applyAlignment="1" applyProtection="1">
      <alignment horizontal="right" vertical="center" wrapText="1"/>
      <protection locked="0"/>
    </xf>
    <xf numFmtId="0" fontId="2" fillId="4" borderId="8" xfId="0" applyFont="1" applyFill="1" applyBorder="1" applyAlignment="1" applyProtection="1">
      <alignment horizontal="right" vertical="top" wrapText="1"/>
      <protection locked="0"/>
    </xf>
    <xf numFmtId="0" fontId="16" fillId="2" borderId="27" xfId="1" applyBorder="1" applyAlignment="1" applyProtection="1">
      <alignment horizontal="center" vertical="top" wrapText="1"/>
      <protection locked="0"/>
    </xf>
    <xf numFmtId="0" fontId="2" fillId="4" borderId="10" xfId="0" applyFont="1" applyFill="1" applyBorder="1" applyAlignment="1" applyProtection="1">
      <alignment vertical="center" wrapText="1"/>
      <protection locked="0"/>
    </xf>
    <xf numFmtId="0" fontId="15" fillId="4" borderId="10" xfId="0" applyFont="1" applyFill="1" applyBorder="1" applyAlignment="1" applyProtection="1">
      <alignment vertical="center" wrapText="1"/>
      <protection locked="0"/>
    </xf>
    <xf numFmtId="0" fontId="1" fillId="4" borderId="18" xfId="0" applyFont="1" applyFill="1" applyBorder="1" applyAlignment="1" applyProtection="1">
      <alignment horizontal="right" vertical="center" wrapText="1"/>
      <protection locked="0"/>
    </xf>
    <xf numFmtId="0" fontId="2" fillId="4" borderId="22" xfId="0" applyFont="1" applyFill="1" applyBorder="1" applyAlignment="1" applyProtection="1">
      <alignment horizontal="right" vertical="center" wrapText="1"/>
      <protection locked="0"/>
    </xf>
    <xf numFmtId="0" fontId="16" fillId="2" borderId="23" xfId="1" applyBorder="1" applyAlignment="1" applyProtection="1">
      <alignment horizontal="center" vertical="center" wrapText="1"/>
      <protection locked="0"/>
    </xf>
    <xf numFmtId="0" fontId="16" fillId="2" borderId="25" xfId="1" applyBorder="1" applyAlignment="1" applyProtection="1">
      <alignment horizontal="center" vertical="center" wrapText="1"/>
      <protection locked="0"/>
    </xf>
    <xf numFmtId="0" fontId="2" fillId="0" borderId="8" xfId="0" applyFont="1" applyBorder="1" applyAlignment="1" applyProtection="1">
      <alignment horizontal="right" vertical="center" wrapText="1"/>
      <protection locked="0"/>
    </xf>
    <xf numFmtId="0" fontId="15" fillId="0" borderId="8" xfId="0" applyFont="1" applyBorder="1" applyAlignment="1" applyProtection="1">
      <alignment horizontal="right" vertical="center" wrapText="1"/>
      <protection locked="0"/>
    </xf>
    <xf numFmtId="0" fontId="2" fillId="0" borderId="0" xfId="0" applyFont="1" applyAlignment="1" applyProtection="1">
      <alignment horizontal="right" vertical="center" wrapText="1"/>
      <protection locked="0"/>
    </xf>
    <xf numFmtId="0" fontId="2" fillId="0" borderId="22" xfId="0" applyFont="1" applyBorder="1" applyAlignment="1" applyProtection="1">
      <alignment horizontal="right" vertical="center" wrapText="1"/>
      <protection locked="0"/>
    </xf>
    <xf numFmtId="0" fontId="2" fillId="0" borderId="23" xfId="0" applyFont="1" applyBorder="1" applyAlignment="1" applyProtection="1">
      <alignment horizontal="right" vertical="center" wrapText="1"/>
      <protection locked="0"/>
    </xf>
    <xf numFmtId="0" fontId="2" fillId="0" borderId="24" xfId="0" applyFont="1" applyBorder="1" applyAlignment="1" applyProtection="1">
      <alignment horizontal="right" vertical="center" wrapText="1"/>
      <protection locked="0"/>
    </xf>
    <xf numFmtId="0" fontId="2" fillId="0" borderId="22" xfId="0" applyFont="1" applyBorder="1" applyAlignment="1" applyProtection="1">
      <alignment vertical="center" wrapText="1"/>
      <protection locked="0"/>
    </xf>
    <xf numFmtId="0" fontId="2" fillId="0" borderId="25" xfId="0" applyFont="1" applyBorder="1" applyAlignment="1" applyProtection="1">
      <alignment horizontal="right" vertical="center" wrapText="1"/>
      <protection locked="0"/>
    </xf>
    <xf numFmtId="0" fontId="2" fillId="4" borderId="10" xfId="0" applyFont="1" applyFill="1" applyBorder="1" applyAlignment="1" applyProtection="1">
      <alignment horizontal="right" vertical="center" wrapText="1"/>
      <protection locked="0"/>
    </xf>
    <xf numFmtId="0" fontId="16" fillId="2" borderId="18" xfId="1" applyBorder="1" applyAlignment="1" applyProtection="1">
      <alignment horizontal="center" vertical="center" wrapText="1"/>
      <protection locked="0"/>
    </xf>
    <xf numFmtId="0" fontId="1" fillId="4" borderId="11" xfId="0" applyFont="1" applyFill="1" applyBorder="1" applyAlignment="1" applyProtection="1">
      <alignment horizontal="right" vertical="center" wrapText="1"/>
      <protection locked="0"/>
    </xf>
    <xf numFmtId="0" fontId="1" fillId="4" borderId="0" xfId="0" applyFont="1" applyFill="1" applyAlignment="1" applyProtection="1">
      <alignment vertical="center" wrapText="1"/>
      <protection locked="0"/>
    </xf>
    <xf numFmtId="0" fontId="1" fillId="4" borderId="8" xfId="0" applyFont="1" applyFill="1" applyBorder="1" applyAlignment="1" applyProtection="1">
      <alignment vertical="center" wrapText="1"/>
      <protection locked="0"/>
    </xf>
    <xf numFmtId="0" fontId="1" fillId="4" borderId="27" xfId="0" applyFont="1" applyFill="1" applyBorder="1" applyAlignment="1" applyProtection="1">
      <alignment horizontal="right" vertical="center" wrapText="1"/>
      <protection locked="0"/>
    </xf>
    <xf numFmtId="0" fontId="16" fillId="2" borderId="11" xfId="1" applyBorder="1" applyAlignment="1" applyProtection="1">
      <alignment horizontal="center" vertical="center" wrapText="1"/>
      <protection locked="0"/>
    </xf>
    <xf numFmtId="0" fontId="1" fillId="4" borderId="10" xfId="0" applyFont="1" applyFill="1" applyBorder="1" applyAlignment="1" applyProtection="1">
      <alignment vertical="center" wrapText="1"/>
      <protection locked="0"/>
    </xf>
    <xf numFmtId="0" fontId="15" fillId="4" borderId="0" xfId="0" applyFont="1" applyFill="1" applyAlignment="1" applyProtection="1">
      <alignment horizontal="right" vertical="center" wrapText="1"/>
      <protection locked="0"/>
    </xf>
    <xf numFmtId="0" fontId="2" fillId="4" borderId="0" xfId="0" applyFont="1" applyFill="1" applyAlignment="1" applyProtection="1">
      <alignment horizontal="right" vertical="center" wrapText="1"/>
      <protection locked="0"/>
    </xf>
    <xf numFmtId="0" fontId="2" fillId="4" borderId="22" xfId="0" applyFont="1" applyFill="1" applyBorder="1" applyAlignment="1" applyProtection="1">
      <alignment vertical="center" wrapText="1"/>
      <protection locked="0"/>
    </xf>
    <xf numFmtId="0" fontId="1" fillId="4" borderId="24" xfId="0" applyFont="1" applyFill="1" applyBorder="1" applyAlignment="1" applyProtection="1">
      <alignment horizontal="right" vertical="center" wrapText="1"/>
      <protection locked="0"/>
    </xf>
    <xf numFmtId="0" fontId="1" fillId="4" borderId="23" xfId="0" applyFont="1" applyFill="1" applyBorder="1" applyAlignment="1" applyProtection="1">
      <alignment horizontal="right" vertical="center" wrapText="1"/>
      <protection locked="0"/>
    </xf>
    <xf numFmtId="0" fontId="2" fillId="4" borderId="24" xfId="0" applyFont="1" applyFill="1" applyBorder="1" applyAlignment="1" applyProtection="1">
      <alignment horizontal="right" vertical="center" wrapText="1"/>
      <protection locked="0"/>
    </xf>
    <xf numFmtId="0" fontId="1" fillId="4" borderId="25" xfId="0" applyFont="1" applyFill="1" applyBorder="1" applyAlignment="1" applyProtection="1">
      <alignment horizontal="right" vertical="center" wrapText="1"/>
      <protection locked="0"/>
    </xf>
    <xf numFmtId="0" fontId="1" fillId="0" borderId="10" xfId="0" applyFont="1" applyBorder="1" applyAlignment="1" applyProtection="1">
      <alignment horizontal="right" vertical="center" wrapText="1"/>
      <protection locked="0"/>
    </xf>
    <xf numFmtId="0" fontId="1" fillId="0" borderId="8" xfId="0" applyFont="1" applyBorder="1" applyAlignment="1" applyProtection="1">
      <alignment horizontal="right" vertical="center" wrapText="1"/>
      <protection locked="0"/>
    </xf>
    <xf numFmtId="0" fontId="1" fillId="0" borderId="0" xfId="0" applyFont="1" applyAlignment="1" applyProtection="1">
      <alignment horizontal="right" vertical="center" wrapText="1"/>
      <protection locked="0"/>
    </xf>
    <xf numFmtId="0" fontId="1" fillId="0" borderId="10" xfId="0" applyFont="1" applyBorder="1" applyAlignment="1" applyProtection="1">
      <alignment vertical="center" wrapText="1"/>
      <protection locked="0"/>
    </xf>
    <xf numFmtId="0" fontId="2" fillId="0" borderId="11" xfId="0" applyFont="1" applyBorder="1" applyAlignment="1" applyProtection="1">
      <alignment horizontal="right" vertical="center" wrapText="1"/>
      <protection locked="0"/>
    </xf>
    <xf numFmtId="0" fontId="2" fillId="0" borderId="18" xfId="0" applyFont="1" applyBorder="1" applyAlignment="1" applyProtection="1">
      <alignment horizontal="right" vertical="center" wrapText="1"/>
      <protection locked="0"/>
    </xf>
    <xf numFmtId="0" fontId="1" fillId="0" borderId="22" xfId="0" applyFont="1" applyBorder="1" applyAlignment="1" applyProtection="1">
      <alignment horizontal="right" vertical="center" wrapText="1"/>
      <protection locked="0"/>
    </xf>
    <xf numFmtId="0" fontId="1" fillId="0" borderId="24" xfId="0" applyFont="1" applyBorder="1" applyAlignment="1" applyProtection="1">
      <alignment horizontal="right" vertical="center" wrapText="1"/>
      <protection locked="0"/>
    </xf>
    <xf numFmtId="0" fontId="15" fillId="4" borderId="22" xfId="0" applyFont="1" applyFill="1" applyBorder="1" applyAlignment="1" applyProtection="1">
      <alignment horizontal="right" vertical="center" wrapText="1"/>
      <protection locked="0"/>
    </xf>
    <xf numFmtId="0" fontId="2" fillId="4" borderId="24" xfId="0" applyFont="1" applyFill="1" applyBorder="1" applyAlignment="1" applyProtection="1">
      <alignment vertical="center" wrapText="1"/>
      <protection locked="0"/>
    </xf>
    <xf numFmtId="0" fontId="8" fillId="4" borderId="12" xfId="0" applyFont="1" applyFill="1" applyBorder="1" applyAlignment="1" applyProtection="1">
      <alignment horizontal="center" vertical="center" wrapText="1"/>
      <protection locked="0"/>
    </xf>
    <xf numFmtId="0" fontId="8" fillId="4" borderId="17" xfId="0" applyFont="1" applyFill="1" applyBorder="1" applyAlignment="1" applyProtection="1">
      <alignment horizontal="center" vertical="center" wrapText="1"/>
      <protection locked="0"/>
    </xf>
    <xf numFmtId="0" fontId="8" fillId="4" borderId="20" xfId="0" applyFont="1" applyFill="1" applyBorder="1" applyAlignment="1" applyProtection="1">
      <alignment horizontal="center" vertical="center" wrapText="1"/>
      <protection locked="0"/>
    </xf>
    <xf numFmtId="0" fontId="10" fillId="4" borderId="2" xfId="0" applyFont="1" applyFill="1" applyBorder="1" applyAlignment="1" applyProtection="1">
      <alignment horizontal="center" vertical="center" wrapText="1"/>
      <protection locked="0"/>
    </xf>
    <xf numFmtId="0" fontId="10" fillId="4" borderId="21" xfId="0" applyFont="1" applyFill="1" applyBorder="1" applyAlignment="1" applyProtection="1">
      <alignment horizontal="center" vertical="center" wrapText="1"/>
      <protection locked="0"/>
    </xf>
    <xf numFmtId="0" fontId="7" fillId="0" borderId="0" xfId="0" applyFont="1" applyAlignment="1">
      <alignment horizontal="left" wrapText="1"/>
    </xf>
    <xf numFmtId="0" fontId="22" fillId="0" borderId="0" xfId="6"/>
    <xf numFmtId="0" fontId="9" fillId="0" borderId="12" xfId="0" applyFont="1" applyBorder="1" applyAlignment="1" applyProtection="1">
      <alignment horizontal="center" vertical="center" wrapText="1"/>
      <protection locked="0"/>
    </xf>
    <xf numFmtId="0" fontId="9" fillId="0" borderId="20"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0" fontId="11" fillId="0" borderId="13" xfId="0" applyFont="1" applyBorder="1" applyAlignment="1" applyProtection="1">
      <alignment horizontal="center" vertical="center" wrapText="1"/>
      <protection locked="0"/>
    </xf>
    <xf numFmtId="0" fontId="11" fillId="0" borderId="3" xfId="0" applyFont="1" applyBorder="1" applyAlignment="1" applyProtection="1">
      <alignment horizontal="center" vertical="center" wrapText="1"/>
      <protection locked="0"/>
    </xf>
    <xf numFmtId="0" fontId="11" fillId="0" borderId="2" xfId="0" applyFont="1" applyBorder="1" applyAlignment="1" applyProtection="1">
      <alignment horizontal="center" vertical="center" wrapText="1"/>
      <protection locked="0"/>
    </xf>
    <xf numFmtId="0" fontId="11" fillId="0" borderId="21" xfId="0" applyFont="1" applyBorder="1" applyAlignment="1" applyProtection="1">
      <alignment horizontal="center" vertical="center" wrapText="1"/>
      <protection locked="0"/>
    </xf>
    <xf numFmtId="0" fontId="10" fillId="4" borderId="13" xfId="0" applyFont="1" applyFill="1" applyBorder="1" applyAlignment="1" applyProtection="1">
      <alignment horizontal="center" vertical="center" wrapText="1"/>
      <protection locked="0"/>
    </xf>
    <xf numFmtId="0" fontId="10" fillId="4" borderId="3" xfId="0" applyFont="1" applyFill="1" applyBorder="1" applyAlignment="1" applyProtection="1">
      <alignment horizontal="center" vertical="center" wrapText="1"/>
      <protection locked="0"/>
    </xf>
    <xf numFmtId="0" fontId="11" fillId="0" borderId="26" xfId="0" applyFont="1" applyBorder="1" applyAlignment="1" applyProtection="1">
      <alignment horizontal="center" vertical="center" wrapText="1"/>
      <protection locked="0"/>
    </xf>
    <xf numFmtId="0" fontId="11" fillId="0" borderId="24" xfId="0"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10" fillId="4" borderId="28" xfId="0" applyFont="1" applyFill="1" applyBorder="1" applyAlignment="1" applyProtection="1">
      <alignment horizontal="center" vertical="center" wrapText="1"/>
      <protection locked="0"/>
    </xf>
    <xf numFmtId="0" fontId="10" fillId="4" borderId="29" xfId="0" applyFont="1" applyFill="1" applyBorder="1" applyAlignment="1" applyProtection="1">
      <alignment horizontal="center" vertical="center" wrapText="1"/>
      <protection locked="0"/>
    </xf>
    <xf numFmtId="0" fontId="10" fillId="4" borderId="30" xfId="0" applyFont="1" applyFill="1" applyBorder="1" applyAlignment="1" applyProtection="1">
      <alignment horizontal="center" vertical="center" wrapText="1"/>
      <protection locked="0"/>
    </xf>
    <xf numFmtId="0" fontId="1" fillId="4" borderId="6" xfId="0" applyFont="1" applyFill="1" applyBorder="1" applyAlignment="1" applyProtection="1">
      <alignment vertical="top" wrapText="1"/>
      <protection locked="0"/>
    </xf>
    <xf numFmtId="0" fontId="1" fillId="4" borderId="7" xfId="0" applyFont="1" applyFill="1" applyBorder="1" applyAlignment="1" applyProtection="1">
      <alignment vertical="top" wrapText="1"/>
      <protection locked="0"/>
    </xf>
    <xf numFmtId="0" fontId="10" fillId="4" borderId="1" xfId="0" applyFont="1" applyFill="1" applyBorder="1" applyAlignment="1" applyProtection="1">
      <alignment horizontal="center" vertical="center" wrapText="1"/>
      <protection locked="0"/>
    </xf>
    <xf numFmtId="0" fontId="1" fillId="4" borderId="6" xfId="0" applyFont="1" applyFill="1" applyBorder="1" applyAlignment="1" applyProtection="1">
      <alignment horizontal="left" vertical="top" wrapText="1"/>
      <protection locked="0"/>
    </xf>
    <xf numFmtId="0" fontId="1" fillId="4" borderId="9" xfId="0" applyFont="1" applyFill="1" applyBorder="1" applyAlignment="1" applyProtection="1">
      <alignment horizontal="left" vertical="top" wrapText="1"/>
      <protection locked="0"/>
    </xf>
    <xf numFmtId="0" fontId="2" fillId="5" borderId="14" xfId="0" applyFont="1" applyFill="1" applyBorder="1" applyAlignment="1" applyProtection="1">
      <alignment horizontal="left" vertical="top" wrapText="1"/>
      <protection locked="0"/>
    </xf>
    <xf numFmtId="0" fontId="2" fillId="5" borderId="16" xfId="0" applyFont="1" applyFill="1" applyBorder="1" applyAlignment="1" applyProtection="1">
      <alignment horizontal="left" vertical="top" wrapText="1"/>
      <protection locked="0"/>
    </xf>
    <xf numFmtId="0" fontId="17" fillId="3" borderId="13" xfId="2" applyFont="1" applyBorder="1" applyAlignment="1" applyProtection="1">
      <alignment horizontal="center" vertical="center" wrapText="1"/>
      <protection locked="0"/>
    </xf>
    <xf numFmtId="0" fontId="17" fillId="3" borderId="16" xfId="2" applyFont="1" applyBorder="1" applyAlignment="1" applyProtection="1">
      <alignment horizontal="center" vertical="center" wrapText="1"/>
      <protection locked="0"/>
    </xf>
    <xf numFmtId="0" fontId="17" fillId="3" borderId="32" xfId="2" applyFont="1" applyBorder="1" applyAlignment="1" applyProtection="1">
      <alignment horizontal="center" vertical="center" wrapText="1"/>
      <protection locked="0"/>
    </xf>
    <xf numFmtId="0" fontId="1" fillId="4" borderId="14" xfId="0" applyFont="1" applyFill="1" applyBorder="1" applyAlignment="1" applyProtection="1">
      <alignment vertical="top" wrapText="1"/>
      <protection locked="0"/>
    </xf>
    <xf numFmtId="0" fontId="1" fillId="4" borderId="15" xfId="0" applyFont="1" applyFill="1" applyBorder="1" applyAlignment="1" applyProtection="1">
      <alignment vertical="top" wrapText="1"/>
      <protection locked="0"/>
    </xf>
    <xf numFmtId="0" fontId="15" fillId="4" borderId="14" xfId="0" applyFont="1" applyFill="1" applyBorder="1" applyAlignment="1" applyProtection="1">
      <alignment horizontal="left" vertical="top" wrapText="1"/>
      <protection locked="0"/>
    </xf>
    <xf numFmtId="0" fontId="2" fillId="4" borderId="15" xfId="0" applyFont="1" applyFill="1" applyBorder="1" applyAlignment="1" applyProtection="1">
      <alignment horizontal="left" vertical="top" wrapText="1"/>
      <protection locked="0"/>
    </xf>
    <xf numFmtId="0" fontId="15" fillId="4" borderId="8" xfId="0" applyFont="1" applyFill="1" applyBorder="1" applyAlignment="1" applyProtection="1">
      <alignment horizontal="left" vertical="top" wrapText="1"/>
      <protection locked="0"/>
    </xf>
    <xf numFmtId="0" fontId="2" fillId="4" borderId="27" xfId="0" applyFont="1" applyFill="1" applyBorder="1" applyAlignment="1" applyProtection="1">
      <alignment horizontal="left" vertical="top" wrapText="1"/>
      <protection locked="0"/>
    </xf>
    <xf numFmtId="0" fontId="2" fillId="5" borderId="15" xfId="0" applyFont="1" applyFill="1" applyBorder="1" applyAlignment="1" applyProtection="1">
      <alignment horizontal="left" vertical="top" wrapText="1"/>
      <protection locked="0"/>
    </xf>
    <xf numFmtId="0" fontId="2" fillId="0" borderId="14" xfId="0" applyFont="1" applyBorder="1" applyAlignment="1" applyProtection="1">
      <alignment horizontal="left" vertical="top" wrapText="1"/>
      <protection locked="0"/>
    </xf>
    <xf numFmtId="0" fontId="2" fillId="0" borderId="16" xfId="0" applyFont="1" applyBorder="1" applyAlignment="1" applyProtection="1">
      <alignment horizontal="left" vertical="top" wrapText="1"/>
      <protection locked="0"/>
    </xf>
    <xf numFmtId="0" fontId="15" fillId="4" borderId="14" xfId="0" applyFont="1" applyFill="1" applyBorder="1" applyAlignment="1" applyProtection="1">
      <alignment vertical="top" wrapText="1"/>
      <protection locked="0"/>
    </xf>
    <xf numFmtId="0" fontId="1" fillId="4" borderId="16" xfId="0" applyFont="1" applyFill="1" applyBorder="1" applyAlignment="1" applyProtection="1">
      <alignment vertical="top" wrapText="1"/>
      <protection locked="0"/>
    </xf>
    <xf numFmtId="0" fontId="15" fillId="0" borderId="14" xfId="0" applyFont="1" applyBorder="1" applyAlignment="1" applyProtection="1">
      <alignment horizontal="left" vertical="top" wrapText="1"/>
      <protection locked="0"/>
    </xf>
    <xf numFmtId="0" fontId="2" fillId="0" borderId="15" xfId="0" applyFont="1" applyBorder="1" applyAlignment="1" applyProtection="1">
      <alignment horizontal="left" vertical="top" wrapText="1"/>
      <protection locked="0"/>
    </xf>
    <xf numFmtId="0" fontId="1" fillId="4" borderId="14" xfId="0" applyFont="1" applyFill="1" applyBorder="1" applyAlignment="1" applyProtection="1">
      <alignment horizontal="left" vertical="top" wrapText="1"/>
      <protection locked="0"/>
    </xf>
    <xf numFmtId="0" fontId="1" fillId="4" borderId="15" xfId="0" applyFont="1" applyFill="1" applyBorder="1" applyAlignment="1" applyProtection="1">
      <alignment horizontal="left" vertical="top" wrapText="1"/>
      <protection locked="0"/>
    </xf>
    <xf numFmtId="0" fontId="2" fillId="4" borderId="8" xfId="0" applyFont="1" applyFill="1" applyBorder="1" applyAlignment="1" applyProtection="1">
      <alignment horizontal="left" vertical="top" wrapText="1"/>
      <protection locked="0"/>
    </xf>
    <xf numFmtId="0" fontId="2" fillId="4" borderId="7" xfId="0" applyFont="1" applyFill="1" applyBorder="1" applyAlignment="1" applyProtection="1">
      <alignment horizontal="left" vertical="top" wrapText="1"/>
      <protection locked="0"/>
    </xf>
    <xf numFmtId="0" fontId="15" fillId="5" borderId="6" xfId="0" applyFont="1" applyFill="1" applyBorder="1" applyAlignment="1" applyProtection="1">
      <alignment horizontal="left" vertical="top" wrapText="1"/>
      <protection locked="0"/>
    </xf>
    <xf numFmtId="0" fontId="2" fillId="5" borderId="7" xfId="0" applyFont="1" applyFill="1" applyBorder="1" applyAlignment="1" applyProtection="1">
      <alignment horizontal="left" vertical="top" wrapText="1"/>
      <protection locked="0"/>
    </xf>
    <xf numFmtId="0" fontId="15" fillId="4" borderId="6" xfId="0" applyFont="1" applyFill="1" applyBorder="1" applyAlignment="1" applyProtection="1">
      <alignment horizontal="left" vertical="top" wrapText="1"/>
      <protection locked="0"/>
    </xf>
    <xf numFmtId="0" fontId="15" fillId="4" borderId="7" xfId="0" applyFont="1" applyFill="1" applyBorder="1" applyAlignment="1" applyProtection="1">
      <alignment horizontal="left" vertical="top" wrapText="1"/>
      <protection locked="0"/>
    </xf>
    <xf numFmtId="0" fontId="1" fillId="4" borderId="0" xfId="0" applyFont="1" applyFill="1" applyAlignment="1" applyProtection="1">
      <alignment horizontal="left" vertical="top" wrapText="1"/>
      <protection locked="0"/>
    </xf>
    <xf numFmtId="0" fontId="1" fillId="4" borderId="19" xfId="0" applyFont="1" applyFill="1" applyBorder="1" applyAlignment="1" applyProtection="1">
      <alignment horizontal="left" vertical="top" wrapText="1"/>
      <protection locked="0"/>
    </xf>
    <xf numFmtId="0" fontId="1" fillId="0" borderId="14" xfId="0" applyFont="1" applyBorder="1" applyAlignment="1" applyProtection="1">
      <alignment horizontal="left" vertical="top" wrapText="1"/>
      <protection locked="0"/>
    </xf>
    <xf numFmtId="0" fontId="1" fillId="0" borderId="16" xfId="0" applyFont="1" applyBorder="1" applyAlignment="1" applyProtection="1">
      <alignment horizontal="left" vertical="top" wrapText="1"/>
      <protection locked="0"/>
    </xf>
    <xf numFmtId="0" fontId="1" fillId="0" borderId="8" xfId="0" applyFont="1" applyBorder="1" applyAlignment="1" applyProtection="1">
      <alignment horizontal="left" vertical="top" wrapText="1"/>
      <protection locked="0"/>
    </xf>
    <xf numFmtId="0" fontId="1" fillId="0" borderId="9" xfId="0" applyFont="1" applyBorder="1" applyAlignment="1" applyProtection="1">
      <alignment horizontal="left" vertical="top" wrapText="1"/>
      <protection locked="0"/>
    </xf>
    <xf numFmtId="0" fontId="1" fillId="0" borderId="6" xfId="0" applyFont="1" applyBorder="1" applyAlignment="1" applyProtection="1">
      <alignment horizontal="left" vertical="top" wrapText="1"/>
      <protection locked="0"/>
    </xf>
    <xf numFmtId="0" fontId="1" fillId="0" borderId="15" xfId="0" applyFont="1" applyBorder="1" applyAlignment="1" applyProtection="1">
      <alignment horizontal="left" vertical="top" wrapText="1"/>
      <protection locked="0"/>
    </xf>
    <xf numFmtId="0" fontId="1" fillId="5" borderId="14" xfId="0" applyFont="1" applyFill="1" applyBorder="1" applyAlignment="1" applyProtection="1">
      <alignment horizontal="left" vertical="top" wrapText="1"/>
      <protection locked="0"/>
    </xf>
    <xf numFmtId="0" fontId="1" fillId="5" borderId="15" xfId="0" applyFont="1" applyFill="1" applyBorder="1" applyAlignment="1" applyProtection="1">
      <alignment horizontal="left" vertical="top" wrapText="1"/>
      <protection locked="0"/>
    </xf>
    <xf numFmtId="0" fontId="1" fillId="5" borderId="6" xfId="0" applyFont="1" applyFill="1" applyBorder="1" applyAlignment="1" applyProtection="1">
      <alignment horizontal="left" vertical="top" wrapText="1"/>
      <protection locked="0"/>
    </xf>
    <xf numFmtId="0" fontId="1" fillId="5" borderId="19" xfId="0" applyFont="1" applyFill="1" applyBorder="1" applyAlignment="1" applyProtection="1">
      <alignment horizontal="left" vertical="top" wrapText="1"/>
      <protection locked="0"/>
    </xf>
    <xf numFmtId="0" fontId="1" fillId="5" borderId="8" xfId="0" applyFont="1" applyFill="1" applyBorder="1" applyAlignment="1" applyProtection="1">
      <alignment horizontal="left" vertical="top" wrapText="1"/>
      <protection locked="0"/>
    </xf>
    <xf numFmtId="0" fontId="1" fillId="5" borderId="27" xfId="0" applyFont="1" applyFill="1" applyBorder="1" applyAlignment="1" applyProtection="1">
      <alignment horizontal="left" vertical="top" wrapText="1"/>
      <protection locked="0"/>
    </xf>
    <xf numFmtId="0" fontId="1" fillId="0" borderId="0" xfId="0" applyFont="1" applyAlignment="1" applyProtection="1">
      <alignment horizontal="left" vertical="top" wrapText="1"/>
      <protection locked="0"/>
    </xf>
    <xf numFmtId="0" fontId="1" fillId="0" borderId="8" xfId="0" applyFont="1" applyBorder="1" applyAlignment="1" applyProtection="1">
      <alignment vertical="top" wrapText="1"/>
      <protection locked="0"/>
    </xf>
    <xf numFmtId="0" fontId="1" fillId="0" borderId="9" xfId="0" applyFont="1" applyBorder="1" applyAlignment="1" applyProtection="1">
      <alignment vertical="top" wrapText="1"/>
      <protection locked="0"/>
    </xf>
    <xf numFmtId="0" fontId="1" fillId="5" borderId="9" xfId="0" applyFont="1" applyFill="1" applyBorder="1" applyAlignment="1" applyProtection="1">
      <alignment horizontal="left" vertical="top" wrapText="1"/>
      <protection locked="0"/>
    </xf>
    <xf numFmtId="0" fontId="15" fillId="4" borderId="8" xfId="0" applyFont="1" applyFill="1" applyBorder="1" applyAlignment="1" applyProtection="1">
      <alignment vertical="top" wrapText="1"/>
      <protection locked="0"/>
    </xf>
    <xf numFmtId="0" fontId="1" fillId="4" borderId="9" xfId="0" applyFont="1" applyFill="1" applyBorder="1" applyAlignment="1" applyProtection="1">
      <alignment vertical="top" wrapText="1"/>
      <protection locked="0"/>
    </xf>
    <xf numFmtId="0" fontId="1" fillId="4" borderId="16" xfId="0" applyFont="1" applyFill="1" applyBorder="1" applyAlignment="1" applyProtection="1">
      <alignment horizontal="left" vertical="top" wrapText="1"/>
      <protection locked="0"/>
    </xf>
    <xf numFmtId="0" fontId="1" fillId="5" borderId="8" xfId="0" applyFont="1" applyFill="1" applyBorder="1" applyAlignment="1" applyProtection="1">
      <alignment vertical="top" wrapText="1"/>
      <protection locked="0"/>
    </xf>
    <xf numFmtId="0" fontId="1" fillId="5" borderId="27" xfId="0" applyFont="1" applyFill="1" applyBorder="1" applyAlignment="1" applyProtection="1">
      <alignment vertical="top" wrapText="1"/>
      <protection locked="0"/>
    </xf>
    <xf numFmtId="0" fontId="1" fillId="0" borderId="14" xfId="0" applyFont="1" applyBorder="1" applyAlignment="1" applyProtection="1">
      <alignment vertical="top" wrapText="1"/>
      <protection locked="0"/>
    </xf>
    <xf numFmtId="0" fontId="1" fillId="0" borderId="16" xfId="0" applyFont="1" applyBorder="1" applyAlignment="1" applyProtection="1">
      <alignment vertical="top" wrapText="1"/>
      <protection locked="0"/>
    </xf>
    <xf numFmtId="0" fontId="1" fillId="4" borderId="0" xfId="0" applyFont="1" applyFill="1" applyAlignment="1" applyProtection="1">
      <alignment vertical="top" wrapText="1"/>
      <protection locked="0"/>
    </xf>
    <xf numFmtId="0" fontId="14" fillId="4" borderId="31" xfId="0" applyFont="1" applyFill="1" applyBorder="1" applyAlignment="1" applyProtection="1">
      <alignment horizontal="center" vertical="center" wrapText="1"/>
      <protection locked="0"/>
    </xf>
    <xf numFmtId="0" fontId="14" fillId="4" borderId="29" xfId="0" applyFont="1" applyFill="1" applyBorder="1" applyAlignment="1" applyProtection="1">
      <alignment horizontal="center" vertical="center" wrapText="1"/>
      <protection locked="0"/>
    </xf>
    <xf numFmtId="0" fontId="14" fillId="4" borderId="1" xfId="0" applyFont="1" applyFill="1" applyBorder="1" applyAlignment="1" applyProtection="1">
      <alignment horizontal="center" vertical="center" wrapText="1"/>
      <protection locked="0"/>
    </xf>
    <xf numFmtId="0" fontId="14" fillId="4" borderId="3" xfId="0" applyFont="1" applyFill="1" applyBorder="1" applyAlignment="1" applyProtection="1">
      <alignment horizontal="center" vertical="center" wrapText="1"/>
      <protection locked="0"/>
    </xf>
    <xf numFmtId="0" fontId="1" fillId="4" borderId="7" xfId="0" applyFont="1" applyFill="1" applyBorder="1" applyAlignment="1" applyProtection="1">
      <alignment horizontal="left" vertical="top" wrapText="1"/>
      <protection locked="0"/>
    </xf>
    <xf numFmtId="0" fontId="1" fillId="5" borderId="6" xfId="0" applyFont="1" applyFill="1" applyBorder="1" applyAlignment="1" applyProtection="1">
      <alignment vertical="top" wrapText="1"/>
      <protection locked="0"/>
    </xf>
    <xf numFmtId="0" fontId="1" fillId="5" borderId="7" xfId="0" applyFont="1" applyFill="1" applyBorder="1" applyAlignment="1" applyProtection="1">
      <alignment vertical="top" wrapText="1"/>
      <protection locked="0"/>
    </xf>
  </cellXfs>
  <cellStyles count="7">
    <cellStyle name="Accent1" xfId="2" builtinId="29"/>
    <cellStyle name="Calculation" xfId="1" builtinId="22" customBuiltin="1"/>
    <cellStyle name="Explanatory Text" xfId="5" builtinId="53"/>
    <cellStyle name="Heading 1" xfId="3" builtinId="16"/>
    <cellStyle name="Hyperlink" xfId="6" builtinId="8"/>
    <cellStyle name="Normal" xfId="0" builtinId="0"/>
    <cellStyle name="Warning Text" xfId="4" builtinId="11"/>
  </cellStyles>
  <dxfs count="0"/>
  <tableStyles count="0" defaultTableStyle="TableStyleMedium2" defaultPivotStyle="PivotStyleLight16"/>
  <colors>
    <mruColors>
      <color rgb="FFE6F0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Rafael VDB" id="{8C9D71BF-644D-46F8-B626-7C8848837221}" userId="285c928949515c18"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3" dT="2025-12-10T15:48:32.99" personId="{8C9D71BF-644D-46F8-B626-7C8848837221}" id="{2BBD4D18-FB9F-47D5-A404-C140237E68FF}">
    <text>Remove question 2 and 3 for sure. Not sure what to do about gender? Here it makes sense to keep it.</text>
  </threadedComment>
  <threadedComment ref="H18" dT="2025-12-10T15:51:50.47" personId="{8C9D71BF-644D-46F8-B626-7C8848837221}" id="{FA115FA3-ACF6-47BA-B472-00565F28C137}">
    <text>Quitaría “Since the adoption of the NDS” (que estaba al inicio) y pondría “most recent” al final</text>
  </threadedComment>
  <threadedComment ref="F37" dT="2025-12-10T16:14:16.97" personId="{8C9D71BF-644D-46F8-B626-7C8848837221}" id="{D3EF2F90-78C1-4E7F-A650-9E3516C3AA07}">
    <text>Esta pregunta la he fusionado con la anterior por lo que se podría borrar</text>
  </threadedComment>
  <threadedComment ref="F39" dT="2025-12-10T16:23:33.24" personId="{8C9D71BF-644D-46F8-B626-7C8848837221}" id="{7E5F5849-B41F-4271-A547-B5C6E5AD55B1}">
    <text>Esta en parte se contesta con la H39 por lo que la quitaría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cat-ddo-drm-diagnostic-dashboard.onrender.com/"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33A1B-F2D0-419A-984D-979291E6494E}">
  <sheetPr>
    <tabColor theme="7" tint="0.79998168889431442"/>
  </sheetPr>
  <dimension ref="B2:AU50"/>
  <sheetViews>
    <sheetView showGridLines="0" tabSelected="1" topLeftCell="A34" zoomScale="85" zoomScaleNormal="85" workbookViewId="0">
      <selection activeCell="D46" sqref="D46:E46"/>
    </sheetView>
  </sheetViews>
  <sheetFormatPr defaultRowHeight="18" x14ac:dyDescent="0.35"/>
  <cols>
    <col min="1" max="1" width="3.6640625" customWidth="1"/>
    <col min="2" max="2" width="22.5546875" style="5" customWidth="1"/>
    <col min="3" max="3" width="21.109375" style="6" customWidth="1"/>
    <col min="4" max="4" width="49.77734375" customWidth="1"/>
    <col min="5" max="5" width="9.5546875" style="7" customWidth="1"/>
    <col min="6" max="6" width="54.5546875" customWidth="1"/>
    <col min="7" max="7" width="9.5546875" style="7" customWidth="1"/>
    <col min="8" max="8" width="65" customWidth="1"/>
    <col min="9" max="9" width="9.5546875" style="7" customWidth="1"/>
    <col min="10" max="10" width="57.77734375" customWidth="1"/>
    <col min="11" max="11" width="9.5546875" style="7" customWidth="1"/>
    <col min="12" max="12" width="38.88671875" customWidth="1"/>
    <col min="13" max="14" width="36.5546875" bestFit="1" customWidth="1"/>
    <col min="15" max="47" width="9.109375"/>
  </cols>
  <sheetData>
    <row r="2" spans="2:47" ht="24" thickBot="1" x14ac:dyDescent="0.5">
      <c r="B2" s="16" t="s">
        <v>75</v>
      </c>
    </row>
    <row r="3" spans="2:47" ht="18.600000000000001" thickTop="1" x14ac:dyDescent="0.35"/>
    <row r="4" spans="2:47" x14ac:dyDescent="0.35">
      <c r="B4" s="18" t="s">
        <v>73</v>
      </c>
    </row>
    <row r="5" spans="2:47" x14ac:dyDescent="0.35">
      <c r="B5" s="5" t="s">
        <v>77</v>
      </c>
    </row>
    <row r="6" spans="2:47" ht="36.6" customHeight="1" x14ac:dyDescent="0.35">
      <c r="B6" s="78" t="s">
        <v>78</v>
      </c>
      <c r="C6" s="78"/>
      <c r="D6" s="78"/>
      <c r="E6" s="79" t="s">
        <v>74</v>
      </c>
      <c r="F6" s="79"/>
    </row>
    <row r="7" spans="2:47" x14ac:dyDescent="0.35">
      <c r="B7" s="5" t="s">
        <v>79</v>
      </c>
      <c r="E7" s="19" t="str">
        <f>_xlfn.TEXTJOIN(";",FALSE,'Summary (to be hidden)'!I2:I14)</f>
        <v>DRM Pillar,Thematic Area,Legal and institutional set up,Intermediary DRM outputs,Key DRM achievements,Policy enablers;Legal and Institutional DRM Framework,DRM policies and institutions,0,0,0,0;Legal and Institutional DRM Framework,Mainstreaming DRM into national and sectoral development plans,0,0,0,0;Risk Identification,Risk identification,0,0,0,0;Risk Reduction,Territorial and urban planning,0,0,0,0.5;Risk Reduction,Public investment at the central level,0,0,0,0;Risk Reduction,Sector-specific risk reduction measures,0,0,0,0;Preparedness,Early warning systems,0,0,0,0;Preparedness,Emergency preparedness and response,0,0,0,0;Preparedness,Adaptive social protection,0,0,0,0;Financial Protection,Fiscal risk management,0,0,0,0;Financial Protection,DRF strategies and instruments,0,0,0,0;Resilient Reconstruction,Resilient reconstruction,0,0,0,0</v>
      </c>
    </row>
    <row r="9" spans="2:47" x14ac:dyDescent="0.35">
      <c r="B9" s="5" t="s">
        <v>76</v>
      </c>
      <c r="E9" s="15">
        <f>64-(COUNTIF('DRM Diagnostic'!D12:K50,"YES")+COUNTIF('DRM Diagnostic'!D12:K50,"NO"))</f>
        <v>50</v>
      </c>
    </row>
    <row r="10" spans="2:47" ht="15.6" x14ac:dyDescent="0.3">
      <c r="B10" s="17" t="s">
        <v>60</v>
      </c>
    </row>
    <row r="11" spans="2:47" ht="18.600000000000001" thickBot="1" x14ac:dyDescent="0.4"/>
    <row r="12" spans="2:47" ht="40.5" customHeight="1" thickBot="1" x14ac:dyDescent="0.35">
      <c r="B12" s="21" t="s">
        <v>0</v>
      </c>
      <c r="C12" s="22" t="s">
        <v>80</v>
      </c>
      <c r="D12" s="102" t="s">
        <v>98</v>
      </c>
      <c r="E12" s="104"/>
      <c r="F12" s="102" t="s">
        <v>99</v>
      </c>
      <c r="G12" s="104"/>
      <c r="H12" s="102" t="s">
        <v>100</v>
      </c>
      <c r="I12" s="104"/>
      <c r="J12" s="102" t="s">
        <v>101</v>
      </c>
      <c r="K12" s="103"/>
      <c r="L12" s="9"/>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row>
    <row r="13" spans="2:47" s="1" customFormat="1" ht="87" customHeight="1" x14ac:dyDescent="0.3">
      <c r="B13" s="73" t="s">
        <v>4</v>
      </c>
      <c r="C13" s="152" t="s">
        <v>5</v>
      </c>
      <c r="D13" s="105" t="s">
        <v>102</v>
      </c>
      <c r="E13" s="106"/>
      <c r="F13" s="105" t="s">
        <v>6</v>
      </c>
      <c r="G13" s="106"/>
      <c r="H13" s="107" t="s">
        <v>92</v>
      </c>
      <c r="I13" s="108"/>
      <c r="J13" s="100" t="s">
        <v>87</v>
      </c>
      <c r="K13" s="101"/>
      <c r="L13" s="8"/>
    </row>
    <row r="14" spans="2:47" s="1" customFormat="1" ht="18" customHeight="1" x14ac:dyDescent="0.3">
      <c r="B14" s="74"/>
      <c r="C14" s="153"/>
      <c r="D14" s="23" t="s">
        <v>7</v>
      </c>
      <c r="E14" s="24"/>
      <c r="F14" s="25" t="s">
        <v>7</v>
      </c>
      <c r="G14" s="26"/>
      <c r="H14" s="25" t="s">
        <v>54</v>
      </c>
      <c r="I14" s="26"/>
      <c r="J14" s="25" t="s">
        <v>54</v>
      </c>
      <c r="K14" s="27"/>
      <c r="L14" s="8"/>
    </row>
    <row r="15" spans="2:47" s="1" customFormat="1" ht="18" customHeight="1" x14ac:dyDescent="0.3">
      <c r="B15" s="74"/>
      <c r="C15" s="154"/>
      <c r="D15" s="28"/>
      <c r="E15" s="29"/>
      <c r="F15" s="28"/>
      <c r="G15" s="29"/>
      <c r="H15" s="30"/>
      <c r="I15" s="29"/>
      <c r="J15" s="25" t="s">
        <v>55</v>
      </c>
      <c r="K15" s="27" t="s">
        <v>108</v>
      </c>
      <c r="L15" s="8"/>
    </row>
    <row r="16" spans="2:47" s="1" customFormat="1" ht="18" customHeight="1" x14ac:dyDescent="0.3">
      <c r="B16" s="74"/>
      <c r="C16" s="154"/>
      <c r="D16" s="28"/>
      <c r="E16" s="29"/>
      <c r="F16" s="28"/>
      <c r="G16" s="29"/>
      <c r="H16" s="31" t="s">
        <v>55</v>
      </c>
      <c r="I16" s="26"/>
      <c r="J16" s="32" t="s">
        <v>56</v>
      </c>
      <c r="K16" s="33" t="s">
        <v>108</v>
      </c>
      <c r="L16" s="8"/>
    </row>
    <row r="17" spans="2:14" s="1" customFormat="1" ht="18" customHeight="1" x14ac:dyDescent="0.3">
      <c r="B17" s="74"/>
      <c r="C17" s="155"/>
      <c r="D17" s="34"/>
      <c r="E17" s="29"/>
      <c r="F17" s="34"/>
      <c r="G17" s="29"/>
      <c r="H17" s="35"/>
      <c r="I17" s="29"/>
      <c r="J17" s="35"/>
      <c r="K17" s="36"/>
      <c r="L17" s="8"/>
    </row>
    <row r="18" spans="2:14" ht="85.2" customHeight="1" x14ac:dyDescent="0.3">
      <c r="B18" s="74"/>
      <c r="C18" s="76" t="s">
        <v>8</v>
      </c>
      <c r="D18" s="120" t="s">
        <v>9</v>
      </c>
      <c r="E18" s="121"/>
      <c r="F18" s="122" t="s">
        <v>93</v>
      </c>
      <c r="G18" s="123"/>
      <c r="H18" s="124" t="s">
        <v>103</v>
      </c>
      <c r="I18" s="125"/>
      <c r="J18" s="109" t="s">
        <v>104</v>
      </c>
      <c r="K18" s="110"/>
      <c r="L18" s="10"/>
      <c r="N18" s="3"/>
    </row>
    <row r="19" spans="2:14" ht="18" customHeight="1" thickBot="1" x14ac:dyDescent="0.35">
      <c r="B19" s="75"/>
      <c r="C19" s="77"/>
      <c r="D19" s="37" t="s">
        <v>7</v>
      </c>
      <c r="E19" s="38"/>
      <c r="F19" s="37" t="s">
        <v>7</v>
      </c>
      <c r="G19" s="38" t="s">
        <v>108</v>
      </c>
      <c r="H19" s="37" t="s">
        <v>7</v>
      </c>
      <c r="I19" s="38"/>
      <c r="J19" s="37" t="s">
        <v>7</v>
      </c>
      <c r="K19" s="39"/>
      <c r="L19" s="11"/>
      <c r="N19" s="3"/>
    </row>
    <row r="20" spans="2:14" ht="74.25" customHeight="1" x14ac:dyDescent="0.3">
      <c r="B20" s="80" t="s">
        <v>10</v>
      </c>
      <c r="C20" s="83" t="s">
        <v>11</v>
      </c>
      <c r="D20" s="112" t="s">
        <v>96</v>
      </c>
      <c r="E20" s="117"/>
      <c r="F20" s="116" t="s">
        <v>105</v>
      </c>
      <c r="G20" s="117"/>
      <c r="H20" s="100" t="s">
        <v>51</v>
      </c>
      <c r="I20" s="111"/>
      <c r="J20" s="112" t="s">
        <v>12</v>
      </c>
      <c r="K20" s="113"/>
      <c r="L20" s="8"/>
    </row>
    <row r="21" spans="2:14" ht="18" customHeight="1" x14ac:dyDescent="0.3">
      <c r="B21" s="82"/>
      <c r="C21" s="91"/>
      <c r="D21" s="40" t="s">
        <v>7</v>
      </c>
      <c r="E21" s="26"/>
      <c r="F21" s="41" t="s">
        <v>54</v>
      </c>
      <c r="G21" s="26"/>
      <c r="H21" s="42" t="s">
        <v>7</v>
      </c>
      <c r="I21" s="26" t="s">
        <v>108</v>
      </c>
      <c r="J21" s="40" t="s">
        <v>7</v>
      </c>
      <c r="K21" s="27"/>
      <c r="L21" s="8"/>
    </row>
    <row r="22" spans="2:14" ht="18" customHeight="1" thickBot="1" x14ac:dyDescent="0.35">
      <c r="B22" s="81"/>
      <c r="C22" s="86"/>
      <c r="D22" s="43"/>
      <c r="E22" s="44"/>
      <c r="F22" s="45" t="s">
        <v>55</v>
      </c>
      <c r="G22" s="38"/>
      <c r="H22" s="46"/>
      <c r="I22" s="44"/>
      <c r="J22" s="46"/>
      <c r="K22" s="47"/>
      <c r="L22" s="8"/>
    </row>
    <row r="23" spans="2:14" ht="74.25" customHeight="1" x14ac:dyDescent="0.3">
      <c r="B23" s="73" t="s">
        <v>13</v>
      </c>
      <c r="C23" s="87" t="s">
        <v>14</v>
      </c>
      <c r="D23" s="118" t="s">
        <v>88</v>
      </c>
      <c r="E23" s="119"/>
      <c r="F23" s="118" t="s">
        <v>15</v>
      </c>
      <c r="G23" s="119"/>
      <c r="H23" s="118" t="s">
        <v>16</v>
      </c>
      <c r="I23" s="119"/>
      <c r="J23" s="114" t="s">
        <v>106</v>
      </c>
      <c r="K23" s="115"/>
      <c r="L23" s="8"/>
    </row>
    <row r="24" spans="2:14" ht="18" customHeight="1" x14ac:dyDescent="0.3">
      <c r="B24" s="74"/>
      <c r="C24" s="97"/>
      <c r="D24" s="25" t="s">
        <v>7</v>
      </c>
      <c r="E24" s="26"/>
      <c r="F24" s="25" t="s">
        <v>7</v>
      </c>
      <c r="G24" s="26"/>
      <c r="H24" s="25" t="s">
        <v>7</v>
      </c>
      <c r="I24" s="26"/>
      <c r="J24" s="31" t="s">
        <v>59</v>
      </c>
      <c r="K24" s="27" t="s">
        <v>107</v>
      </c>
      <c r="L24" s="8"/>
    </row>
    <row r="25" spans="2:14" ht="18" customHeight="1" x14ac:dyDescent="0.3">
      <c r="B25" s="74"/>
      <c r="C25" s="88"/>
      <c r="D25" s="34"/>
      <c r="E25" s="29"/>
      <c r="F25" s="34"/>
      <c r="G25" s="29"/>
      <c r="H25" s="34"/>
      <c r="I25" s="29"/>
      <c r="J25" s="48" t="s">
        <v>55</v>
      </c>
      <c r="K25" s="49"/>
      <c r="L25" s="8"/>
    </row>
    <row r="26" spans="2:14" ht="88.5" customHeight="1" x14ac:dyDescent="0.3">
      <c r="B26" s="74"/>
      <c r="C26" s="76" t="s">
        <v>17</v>
      </c>
      <c r="D26" s="95" t="s">
        <v>18</v>
      </c>
      <c r="E26" s="96"/>
      <c r="F26" s="95" t="s">
        <v>89</v>
      </c>
      <c r="G26" s="96"/>
      <c r="H26" s="157" t="s">
        <v>19</v>
      </c>
      <c r="I26" s="158"/>
      <c r="J26" s="136" t="s">
        <v>20</v>
      </c>
      <c r="K26" s="139"/>
      <c r="L26" s="8"/>
    </row>
    <row r="27" spans="2:14" ht="18" customHeight="1" x14ac:dyDescent="0.3">
      <c r="B27" s="74"/>
      <c r="C27" s="97"/>
      <c r="D27" s="25" t="s">
        <v>7</v>
      </c>
      <c r="E27" s="26"/>
      <c r="F27" s="25" t="s">
        <v>7</v>
      </c>
      <c r="G27" s="26"/>
      <c r="H27" s="25" t="s">
        <v>7</v>
      </c>
      <c r="I27" s="26" t="s">
        <v>108</v>
      </c>
      <c r="J27" s="31" t="s">
        <v>54</v>
      </c>
      <c r="K27" s="27" t="s">
        <v>108</v>
      </c>
      <c r="L27" s="8"/>
    </row>
    <row r="28" spans="2:14" ht="18" customHeight="1" x14ac:dyDescent="0.3">
      <c r="B28" s="74"/>
      <c r="C28" s="88"/>
      <c r="D28" s="34"/>
      <c r="E28" s="29"/>
      <c r="F28" s="34"/>
      <c r="G28" s="50"/>
      <c r="H28" s="34"/>
      <c r="I28" s="29"/>
      <c r="J28" s="48" t="s">
        <v>55</v>
      </c>
      <c r="K28" s="49" t="s">
        <v>108</v>
      </c>
      <c r="L28" s="8"/>
    </row>
    <row r="29" spans="2:14" ht="103.2" customHeight="1" x14ac:dyDescent="0.3">
      <c r="B29" s="74"/>
      <c r="C29" s="76" t="s">
        <v>21</v>
      </c>
      <c r="D29" s="98" t="s">
        <v>22</v>
      </c>
      <c r="E29" s="156"/>
      <c r="F29" s="126" t="s">
        <v>23</v>
      </c>
      <c r="G29" s="126"/>
      <c r="H29" s="98" t="s">
        <v>52</v>
      </c>
      <c r="I29" s="156"/>
      <c r="J29" s="98" t="s">
        <v>24</v>
      </c>
      <c r="K29" s="156"/>
      <c r="L29" s="8"/>
      <c r="M29" s="4"/>
    </row>
    <row r="30" spans="2:14" ht="18" customHeight="1" x14ac:dyDescent="0.3">
      <c r="B30" s="74"/>
      <c r="C30" s="97"/>
      <c r="D30" s="31" t="s">
        <v>54</v>
      </c>
      <c r="E30" s="26"/>
      <c r="F30" s="29" t="s">
        <v>7</v>
      </c>
      <c r="G30" s="26"/>
      <c r="H30" s="23" t="s">
        <v>7</v>
      </c>
      <c r="I30" s="26"/>
      <c r="J30" s="25" t="s">
        <v>7</v>
      </c>
      <c r="K30" s="27"/>
      <c r="L30" s="8"/>
      <c r="M30" s="4"/>
    </row>
    <row r="31" spans="2:14" ht="18" customHeight="1" x14ac:dyDescent="0.3">
      <c r="B31" s="74"/>
      <c r="C31" s="97"/>
      <c r="D31" s="31" t="s">
        <v>55</v>
      </c>
      <c r="E31" s="26"/>
      <c r="F31" s="51"/>
      <c r="G31" s="29"/>
      <c r="H31" s="52"/>
      <c r="I31" s="29"/>
      <c r="J31" s="28"/>
      <c r="K31" s="53"/>
      <c r="L31" s="8"/>
      <c r="M31" s="4"/>
    </row>
    <row r="32" spans="2:14" ht="18" customHeight="1" x14ac:dyDescent="0.3">
      <c r="B32" s="74"/>
      <c r="C32" s="97"/>
      <c r="D32" s="31" t="s">
        <v>57</v>
      </c>
      <c r="E32" s="26"/>
      <c r="F32" s="51"/>
      <c r="G32" s="29"/>
      <c r="H32" s="52"/>
      <c r="I32" s="29"/>
      <c r="J32" s="28"/>
      <c r="K32" s="53"/>
      <c r="L32" s="8"/>
      <c r="M32" s="4"/>
    </row>
    <row r="33" spans="2:13" ht="18" customHeight="1" x14ac:dyDescent="0.3">
      <c r="B33" s="74"/>
      <c r="C33" s="97"/>
      <c r="D33" s="48" t="s">
        <v>58</v>
      </c>
      <c r="E33" s="54"/>
      <c r="F33" s="51"/>
      <c r="G33" s="29"/>
      <c r="H33" s="55"/>
      <c r="I33" s="50"/>
      <c r="J33" s="34"/>
      <c r="K33" s="53"/>
      <c r="L33" s="8"/>
      <c r="M33" s="4"/>
    </row>
    <row r="34" spans="2:13" ht="64.5" customHeight="1" x14ac:dyDescent="0.3">
      <c r="B34" s="74"/>
      <c r="C34" s="97"/>
      <c r="D34" s="98" t="s">
        <v>97</v>
      </c>
      <c r="E34" s="99"/>
      <c r="F34" s="98" t="s">
        <v>90</v>
      </c>
      <c r="G34" s="156"/>
      <c r="H34" s="126" t="s">
        <v>25</v>
      </c>
      <c r="I34" s="126"/>
      <c r="J34" s="98" t="s">
        <v>26</v>
      </c>
      <c r="K34" s="127"/>
      <c r="L34" s="8"/>
    </row>
    <row r="35" spans="2:13" ht="18" customHeight="1" x14ac:dyDescent="0.3">
      <c r="B35" s="74"/>
      <c r="C35" s="97"/>
      <c r="D35" s="25" t="s">
        <v>7</v>
      </c>
      <c r="E35" s="26"/>
      <c r="F35" s="25" t="s">
        <v>7</v>
      </c>
      <c r="G35" s="26"/>
      <c r="H35" s="56" t="s">
        <v>54</v>
      </c>
      <c r="I35" s="26"/>
      <c r="J35" s="57" t="s">
        <v>7</v>
      </c>
      <c r="K35" s="27"/>
      <c r="L35" s="8"/>
    </row>
    <row r="36" spans="2:13" ht="18" customHeight="1" thickBot="1" x14ac:dyDescent="0.35">
      <c r="B36" s="75"/>
      <c r="C36" s="77"/>
      <c r="D36" s="58"/>
      <c r="E36" s="59"/>
      <c r="F36" s="58"/>
      <c r="G36" s="60"/>
      <c r="H36" s="61" t="s">
        <v>55</v>
      </c>
      <c r="I36" s="38"/>
      <c r="J36" s="58"/>
      <c r="K36" s="62"/>
      <c r="L36" s="8"/>
    </row>
    <row r="37" spans="2:13" ht="74.25" customHeight="1" x14ac:dyDescent="0.3">
      <c r="B37" s="80" t="s">
        <v>27</v>
      </c>
      <c r="C37" s="83" t="s">
        <v>28</v>
      </c>
      <c r="D37" s="128" t="s">
        <v>109</v>
      </c>
      <c r="E37" s="133"/>
      <c r="F37" s="134" t="s">
        <v>29</v>
      </c>
      <c r="G37" s="135"/>
      <c r="H37" s="128" t="s">
        <v>30</v>
      </c>
      <c r="I37" s="133"/>
      <c r="J37" s="128" t="s">
        <v>31</v>
      </c>
      <c r="K37" s="129"/>
      <c r="L37" s="12"/>
    </row>
    <row r="38" spans="2:13" ht="19.95" customHeight="1" thickBot="1" x14ac:dyDescent="0.35">
      <c r="B38" s="82"/>
      <c r="C38" s="84"/>
      <c r="D38" s="63" t="s">
        <v>7</v>
      </c>
      <c r="E38" s="54"/>
      <c r="F38" s="63" t="s">
        <v>7</v>
      </c>
      <c r="G38" s="54" t="s">
        <v>108</v>
      </c>
      <c r="H38" s="63" t="s">
        <v>7</v>
      </c>
      <c r="I38" s="54"/>
      <c r="J38" s="63" t="s">
        <v>7</v>
      </c>
      <c r="K38" s="39"/>
      <c r="L38" s="12"/>
    </row>
    <row r="39" spans="2:13" ht="63" customHeight="1" x14ac:dyDescent="0.3">
      <c r="B39" s="82"/>
      <c r="C39" s="85" t="s">
        <v>32</v>
      </c>
      <c r="D39" s="132" t="s">
        <v>33</v>
      </c>
      <c r="E39" s="131"/>
      <c r="F39" s="138" t="s">
        <v>34</v>
      </c>
      <c r="G39" s="143"/>
      <c r="H39" s="141" t="s">
        <v>113</v>
      </c>
      <c r="I39" s="142"/>
      <c r="J39" s="136" t="s">
        <v>35</v>
      </c>
      <c r="K39" s="137"/>
      <c r="L39" s="1"/>
      <c r="M39" s="4"/>
    </row>
    <row r="40" spans="2:13" ht="18" customHeight="1" x14ac:dyDescent="0.3">
      <c r="B40" s="82"/>
      <c r="C40" s="91"/>
      <c r="D40" s="64" t="s">
        <v>7</v>
      </c>
      <c r="E40" s="26"/>
      <c r="F40" s="64" t="s">
        <v>7</v>
      </c>
      <c r="G40" s="26" t="s">
        <v>108</v>
      </c>
      <c r="H40" s="64" t="s">
        <v>59</v>
      </c>
      <c r="I40" s="26"/>
      <c r="J40" s="65" t="s">
        <v>7</v>
      </c>
      <c r="K40" s="27" t="s">
        <v>108</v>
      </c>
      <c r="L40" s="1"/>
      <c r="M40" s="4"/>
    </row>
    <row r="41" spans="2:13" ht="18" customHeight="1" x14ac:dyDescent="0.3">
      <c r="B41" s="82"/>
      <c r="C41" s="84"/>
      <c r="D41" s="66"/>
      <c r="E41" s="67"/>
      <c r="F41" s="66"/>
      <c r="G41" s="67"/>
      <c r="H41" s="63" t="s">
        <v>55</v>
      </c>
      <c r="I41" s="54"/>
      <c r="J41" s="66"/>
      <c r="K41" s="68"/>
      <c r="L41" s="1"/>
      <c r="M41" s="4"/>
    </row>
    <row r="42" spans="2:13" ht="58.5" customHeight="1" x14ac:dyDescent="0.3">
      <c r="B42" s="82"/>
      <c r="C42" s="85" t="s">
        <v>36</v>
      </c>
      <c r="D42" s="130" t="s">
        <v>37</v>
      </c>
      <c r="E42" s="131"/>
      <c r="F42" s="130" t="s">
        <v>38</v>
      </c>
      <c r="G42" s="131"/>
      <c r="H42" s="140" t="s">
        <v>110</v>
      </c>
      <c r="I42" s="140"/>
      <c r="J42" s="138" t="s">
        <v>39</v>
      </c>
      <c r="K42" s="139"/>
      <c r="L42" s="8"/>
    </row>
    <row r="43" spans="2:13" ht="18" customHeight="1" thickBot="1" x14ac:dyDescent="0.35">
      <c r="B43" s="81"/>
      <c r="C43" s="86"/>
      <c r="D43" s="69" t="s">
        <v>7</v>
      </c>
      <c r="E43" s="38"/>
      <c r="F43" s="69" t="s">
        <v>7</v>
      </c>
      <c r="G43" s="38"/>
      <c r="H43" s="70" t="s">
        <v>7</v>
      </c>
      <c r="I43" s="38"/>
      <c r="J43" s="69" t="s">
        <v>7</v>
      </c>
      <c r="K43" s="39" t="s">
        <v>108</v>
      </c>
      <c r="L43" s="8"/>
    </row>
    <row r="44" spans="2:13" ht="66" customHeight="1" x14ac:dyDescent="0.3">
      <c r="B44" s="73" t="s">
        <v>40</v>
      </c>
      <c r="C44" s="87" t="s">
        <v>41</v>
      </c>
      <c r="D44" s="118" t="s">
        <v>111</v>
      </c>
      <c r="E44" s="119"/>
      <c r="F44" s="118" t="s">
        <v>42</v>
      </c>
      <c r="G44" s="119"/>
      <c r="H44" s="118" t="s">
        <v>94</v>
      </c>
      <c r="I44" s="119"/>
      <c r="J44" s="118" t="s">
        <v>43</v>
      </c>
      <c r="K44" s="146"/>
      <c r="L44" s="1"/>
    </row>
    <row r="45" spans="2:13" ht="18" customHeight="1" x14ac:dyDescent="0.3">
      <c r="B45" s="74"/>
      <c r="C45" s="88"/>
      <c r="D45" s="48" t="s">
        <v>7</v>
      </c>
      <c r="E45" s="54"/>
      <c r="F45" s="48" t="s">
        <v>7</v>
      </c>
      <c r="G45" s="54"/>
      <c r="H45" s="48" t="s">
        <v>7</v>
      </c>
      <c r="I45" s="54"/>
      <c r="J45" s="48" t="s">
        <v>7</v>
      </c>
      <c r="K45" s="49"/>
      <c r="L45" s="1"/>
    </row>
    <row r="46" spans="2:13" ht="74.400000000000006" customHeight="1" x14ac:dyDescent="0.3">
      <c r="B46" s="74"/>
      <c r="C46" s="92" t="s">
        <v>44</v>
      </c>
      <c r="D46" s="95" t="s">
        <v>114</v>
      </c>
      <c r="E46" s="151"/>
      <c r="F46" s="144" t="s">
        <v>112</v>
      </c>
      <c r="G46" s="145"/>
      <c r="H46" s="151" t="s">
        <v>95</v>
      </c>
      <c r="I46" s="151"/>
      <c r="J46" s="147" t="s">
        <v>45</v>
      </c>
      <c r="K46" s="148"/>
      <c r="L46" s="1"/>
    </row>
    <row r="47" spans="2:13" ht="18" customHeight="1" x14ac:dyDescent="0.3">
      <c r="B47" s="74"/>
      <c r="C47" s="93"/>
      <c r="D47" s="25" t="s">
        <v>7</v>
      </c>
      <c r="E47" s="26"/>
      <c r="F47" s="31" t="s">
        <v>54</v>
      </c>
      <c r="G47" s="26" t="s">
        <v>108</v>
      </c>
      <c r="H47" s="57" t="s">
        <v>7</v>
      </c>
      <c r="I47" s="26"/>
      <c r="J47" s="25" t="s">
        <v>7</v>
      </c>
      <c r="K47" s="27" t="s">
        <v>108</v>
      </c>
      <c r="L47" s="1"/>
    </row>
    <row r="48" spans="2:13" ht="18" customHeight="1" thickBot="1" x14ac:dyDescent="0.35">
      <c r="B48" s="75"/>
      <c r="C48" s="94"/>
      <c r="D48" s="58"/>
      <c r="E48" s="59"/>
      <c r="F48" s="71" t="s">
        <v>55</v>
      </c>
      <c r="G48" s="38"/>
      <c r="H48" s="72"/>
      <c r="I48" s="59"/>
      <c r="J48" s="58"/>
      <c r="K48" s="62"/>
      <c r="L48" s="1"/>
    </row>
    <row r="49" spans="2:12" ht="64.5" customHeight="1" x14ac:dyDescent="0.3">
      <c r="B49" s="80" t="s">
        <v>46</v>
      </c>
      <c r="C49" s="89" t="s">
        <v>11</v>
      </c>
      <c r="D49" s="128" t="s">
        <v>47</v>
      </c>
      <c r="E49" s="133"/>
      <c r="F49" s="128" t="s">
        <v>48</v>
      </c>
      <c r="G49" s="133"/>
      <c r="H49" s="128" t="s">
        <v>49</v>
      </c>
      <c r="I49" s="133"/>
      <c r="J49" s="149" t="s">
        <v>50</v>
      </c>
      <c r="K49" s="150"/>
      <c r="L49" s="1"/>
    </row>
    <row r="50" spans="2:12" ht="18" customHeight="1" thickBot="1" x14ac:dyDescent="0.35">
      <c r="B50" s="81"/>
      <c r="C50" s="90"/>
      <c r="D50" s="43" t="s">
        <v>7</v>
      </c>
      <c r="E50" s="38"/>
      <c r="F50" s="43" t="s">
        <v>7</v>
      </c>
      <c r="G50" s="38"/>
      <c r="H50" s="43" t="s">
        <v>7</v>
      </c>
      <c r="I50" s="38"/>
      <c r="J50" s="43" t="s">
        <v>7</v>
      </c>
      <c r="K50" s="39"/>
      <c r="L50" s="1"/>
    </row>
  </sheetData>
  <mergeCells count="76">
    <mergeCell ref="B44:B48"/>
    <mergeCell ref="C13:C17"/>
    <mergeCell ref="D29:E29"/>
    <mergeCell ref="J26:K26"/>
    <mergeCell ref="J29:K29"/>
    <mergeCell ref="H37:I37"/>
    <mergeCell ref="B23:B36"/>
    <mergeCell ref="C29:C36"/>
    <mergeCell ref="F26:G26"/>
    <mergeCell ref="F29:G29"/>
    <mergeCell ref="H29:I29"/>
    <mergeCell ref="H26:I26"/>
    <mergeCell ref="H23:I23"/>
    <mergeCell ref="D44:E44"/>
    <mergeCell ref="D46:E46"/>
    <mergeCell ref="F34:G34"/>
    <mergeCell ref="D49:E49"/>
    <mergeCell ref="F49:G49"/>
    <mergeCell ref="F46:G46"/>
    <mergeCell ref="F44:G44"/>
    <mergeCell ref="J44:K44"/>
    <mergeCell ref="J46:K46"/>
    <mergeCell ref="J49:K49"/>
    <mergeCell ref="H49:I49"/>
    <mergeCell ref="H46:I46"/>
    <mergeCell ref="H44:I44"/>
    <mergeCell ref="H34:I34"/>
    <mergeCell ref="J34:K34"/>
    <mergeCell ref="J37:K37"/>
    <mergeCell ref="D42:E42"/>
    <mergeCell ref="D39:E39"/>
    <mergeCell ref="D37:E37"/>
    <mergeCell ref="F37:G37"/>
    <mergeCell ref="J39:K39"/>
    <mergeCell ref="J42:K42"/>
    <mergeCell ref="H42:I42"/>
    <mergeCell ref="H39:I39"/>
    <mergeCell ref="F39:G39"/>
    <mergeCell ref="F42:G42"/>
    <mergeCell ref="J18:K18"/>
    <mergeCell ref="C23:C25"/>
    <mergeCell ref="H20:I20"/>
    <mergeCell ref="J20:K20"/>
    <mergeCell ref="J23:K23"/>
    <mergeCell ref="F20:G20"/>
    <mergeCell ref="F23:G23"/>
    <mergeCell ref="D18:E18"/>
    <mergeCell ref="F18:G18"/>
    <mergeCell ref="H18:I18"/>
    <mergeCell ref="C20:C22"/>
    <mergeCell ref="D23:E23"/>
    <mergeCell ref="D20:E20"/>
    <mergeCell ref="J13:K13"/>
    <mergeCell ref="J12:K12"/>
    <mergeCell ref="D12:E12"/>
    <mergeCell ref="D13:E13"/>
    <mergeCell ref="F12:G12"/>
    <mergeCell ref="F13:G13"/>
    <mergeCell ref="H12:I12"/>
    <mergeCell ref="H13:I13"/>
    <mergeCell ref="B13:B19"/>
    <mergeCell ref="C18:C19"/>
    <mergeCell ref="B6:D6"/>
    <mergeCell ref="E6:F6"/>
    <mergeCell ref="B49:B50"/>
    <mergeCell ref="B37:B43"/>
    <mergeCell ref="C37:C38"/>
    <mergeCell ref="C42:C43"/>
    <mergeCell ref="C44:C45"/>
    <mergeCell ref="C49:C50"/>
    <mergeCell ref="C39:C41"/>
    <mergeCell ref="C46:C48"/>
    <mergeCell ref="B20:B22"/>
    <mergeCell ref="D26:E26"/>
    <mergeCell ref="C26:C28"/>
    <mergeCell ref="D34:E34"/>
  </mergeCells>
  <dataValidations count="1">
    <dataValidation type="list" allowBlank="1" showInputMessage="1" showErrorMessage="1" sqref="K27:K28 G14 E14 E19 G19 I19 K19 I16 G21:G22 K14:K16 E21 I21 K21 I24 G24 E24 E27 G27 G30 E35 I35:I36 G40 E40 K35 K40 E47 I47 E30:E33 G35 I38 K38 G38 E38 I40:I41 K43 I43 G43 E43 E45 E50 G50 G47:G48 I50 K50 K45 I45 G45 I30 K30 I27 K24:K25 I14 K47" xr:uid="{4F850B23-72D3-42CE-AFF7-E77C4B7FF2EF}">
      <formula1>"Yes,No"</formula1>
    </dataValidation>
  </dataValidations>
  <hyperlinks>
    <hyperlink ref="E6" r:id="rId1" xr:uid="{1CA86482-C762-4B74-AE4C-5776DD22645C}"/>
  </hyperlinks>
  <pageMargins left="0.7" right="0.7" top="0.75" bottom="0.75" header="0.3" footer="0.3"/>
  <pageSetup orientation="portrait" r:id="rId2"/>
  <headerFooter>
    <oddFooter>&amp;R_x000D_&amp;1#&amp;"Aptos"&amp;10&amp;K000000 Official Use Only</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2FEA7-2755-42AA-AE92-AD811EBA4B74}">
  <sheetPr>
    <tabColor theme="9" tint="0.79998168889431442"/>
  </sheetPr>
  <dimension ref="B2:I47"/>
  <sheetViews>
    <sheetView showGridLines="0" topLeftCell="A38" zoomScale="85" zoomScaleNormal="85" workbookViewId="0"/>
  </sheetViews>
  <sheetFormatPr defaultRowHeight="14.4" x14ac:dyDescent="0.3"/>
  <cols>
    <col min="1" max="1" width="3.109375" customWidth="1"/>
    <col min="2" max="2" width="32.33203125" bestFit="1" customWidth="1"/>
    <col min="3" max="3" width="57.33203125" bestFit="1" customWidth="1"/>
    <col min="4" max="4" width="16.6640625" bestFit="1" customWidth="1"/>
    <col min="5" max="7" width="15.6640625" customWidth="1"/>
    <col min="8" max="8" width="11" customWidth="1"/>
  </cols>
  <sheetData>
    <row r="2" spans="2:9" ht="31.2" customHeight="1" x14ac:dyDescent="0.3">
      <c r="B2" s="13" t="s">
        <v>0</v>
      </c>
      <c r="C2" s="13" t="s">
        <v>80</v>
      </c>
      <c r="D2" s="14" t="s">
        <v>1</v>
      </c>
      <c r="E2" s="14" t="s">
        <v>53</v>
      </c>
      <c r="F2" s="14" t="s">
        <v>2</v>
      </c>
      <c r="G2" s="14" t="s">
        <v>3</v>
      </c>
      <c r="I2" t="str">
        <f>_xlfn.TEXTJOIN(",",FALSE,B2:G2)</f>
        <v>DRM Pillar,Thematic Area,Legal and institutional set up,Intermediary DRM outputs,Key DRM achievements,Policy enablers</v>
      </c>
    </row>
    <row r="3" spans="2:9" x14ac:dyDescent="0.3">
      <c r="B3" s="13" t="s">
        <v>69</v>
      </c>
      <c r="C3" s="13" t="s">
        <v>61</v>
      </c>
      <c r="D3" s="13">
        <f>IF('DRM Diagnostic'!E14="Yes",1,0)</f>
        <v>0</v>
      </c>
      <c r="E3">
        <f>IF('DRM Diagnostic'!G14="Yes",1,0)</f>
        <v>0</v>
      </c>
      <c r="F3" s="13">
        <f>0.5*IF('DRM Diagnostic'!I14="Yes",1,0) + 0.5*IF('DRM Diagnostic'!I16="Yes",1,0)</f>
        <v>0</v>
      </c>
      <c r="G3" s="13">
        <f>ROUND(0.3333*IF('DRM Diagnostic'!K14="Yes",1,0) + 0.3333*IF('DRM Diagnostic'!K15="Yes",1,0) + 0.3333*IF('DRM Diagnostic'!K16="Yes",1,0),2)</f>
        <v>0</v>
      </c>
      <c r="I3" t="str">
        <f>_xlfn.TEXTJOIN(",",FALSE,B3:G3)</f>
        <v>Legal and Institutional DRM Framework,DRM policies and institutions,0,0,0,0</v>
      </c>
    </row>
    <row r="4" spans="2:9" x14ac:dyDescent="0.3">
      <c r="B4" s="13" t="s">
        <v>69</v>
      </c>
      <c r="C4" s="13" t="s">
        <v>62</v>
      </c>
      <c r="D4" s="13">
        <f>IF('DRM Diagnostic'!E19="Yes",1,0)</f>
        <v>0</v>
      </c>
      <c r="E4" s="13">
        <f>IF('DRM Diagnostic'!G19="Yes",1,0)</f>
        <v>0</v>
      </c>
      <c r="F4" s="13">
        <f>IF('DRM Diagnostic'!I19="Yes",1,0)</f>
        <v>0</v>
      </c>
      <c r="G4" s="13">
        <f>IF('DRM Diagnostic'!K19="Yes",1,0)</f>
        <v>0</v>
      </c>
      <c r="I4" t="str">
        <f>_xlfn.TEXTJOIN(",",FALSE,B4:G4)</f>
        <v>Legal and Institutional DRM Framework,Mainstreaming DRM into national and sectoral development plans,0,0,0,0</v>
      </c>
    </row>
    <row r="5" spans="2:9" x14ac:dyDescent="0.3">
      <c r="B5" s="13" t="s">
        <v>63</v>
      </c>
      <c r="C5" s="13" t="s">
        <v>82</v>
      </c>
      <c r="D5" s="13">
        <f>IF('DRM Diagnostic'!E21="Yes",1,0)</f>
        <v>0</v>
      </c>
      <c r="E5" s="13">
        <f>0.5*IF('DRM Diagnostic'!G21="Yes",1,0) + 0.5*IF('DRM Diagnostic'!G22="Yes",1,0)</f>
        <v>0</v>
      </c>
      <c r="F5" s="13">
        <f>IF('DRM Diagnostic'!I21="Yes",1,0)</f>
        <v>0</v>
      </c>
      <c r="G5" s="13">
        <f>IF('DRM Diagnostic'!K21="Yes",1,0)</f>
        <v>0</v>
      </c>
      <c r="I5" t="str">
        <f t="shared" ref="I5:I14" si="0">_xlfn.TEXTJOIN(",",FALSE,B5:G5)</f>
        <v>Risk Identification,Risk identification,0,0,0,0</v>
      </c>
    </row>
    <row r="6" spans="2:9" x14ac:dyDescent="0.3">
      <c r="B6" s="13" t="s">
        <v>70</v>
      </c>
      <c r="C6" s="13" t="s">
        <v>64</v>
      </c>
      <c r="D6" s="13">
        <f>IF('DRM Diagnostic'!E24="Yes",1,0)</f>
        <v>0</v>
      </c>
      <c r="E6" s="13">
        <f>IF('DRM Diagnostic'!G24="Yes",1,0)</f>
        <v>0</v>
      </c>
      <c r="F6" s="13">
        <f>IF('DRM Diagnostic'!I24="Yes",1,0)</f>
        <v>0</v>
      </c>
      <c r="G6" s="13">
        <f>0.5*IF('DRM Diagnostic'!K24="Yes",1,0) + 0.5*IF('DRM Diagnostic'!K25="Yes",1,0)</f>
        <v>0.5</v>
      </c>
      <c r="I6" t="str">
        <f t="shared" si="0"/>
        <v>Risk Reduction,Territorial and urban planning,0,0,0,0.5</v>
      </c>
    </row>
    <row r="7" spans="2:9" x14ac:dyDescent="0.3">
      <c r="B7" s="13" t="s">
        <v>70</v>
      </c>
      <c r="C7" s="13" t="s">
        <v>65</v>
      </c>
      <c r="D7" s="13">
        <f>IF('DRM Diagnostic'!E27="Yes",1,0)</f>
        <v>0</v>
      </c>
      <c r="E7" s="13">
        <f>IF('DRM Diagnostic'!G27="Yes",1,0)</f>
        <v>0</v>
      </c>
      <c r="F7" s="13">
        <f>IF('DRM Diagnostic'!I27="Yes",1,0)</f>
        <v>0</v>
      </c>
      <c r="G7" s="13">
        <f>0.5*IF('DRM Diagnostic'!K27="Yes",1,0) + 0.5*IF('DRM Diagnostic'!K28="Yes",1,0)</f>
        <v>0</v>
      </c>
      <c r="I7" t="str">
        <f t="shared" si="0"/>
        <v>Risk Reduction,Public investment at the central level,0,0,0,0</v>
      </c>
    </row>
    <row r="8" spans="2:9" x14ac:dyDescent="0.3">
      <c r="B8" s="13" t="s">
        <v>70</v>
      </c>
      <c r="C8" s="13" t="s">
        <v>66</v>
      </c>
      <c r="D8" s="13">
        <f>0.2*IF('DRM Diagnostic'!E30="Yes",1,0)+0.2*IF('DRM Diagnostic'!E31="Yes",1,0)+0.2*IF('DRM Diagnostic'!E32="Yes",1,0)+0.2*IF('DRM Diagnostic'!E33="Yes",1,0)+0.2*IF('DRM Diagnostic'!E35="Yes",1,0)</f>
        <v>0</v>
      </c>
      <c r="E8" s="13">
        <f>0.5*IF('DRM Diagnostic'!G30="Yes",1,0)+0.5*IF('DRM Diagnostic'!G35="Yes",1,0)</f>
        <v>0</v>
      </c>
      <c r="F8" s="13">
        <f>ROUND(0.3333*IF('DRM Diagnostic'!I30="Yes",1,0)+0.3333*IF('DRM Diagnostic'!I35="Yes",1,0)+0.3333*IF('DRM Diagnostic'!I36="Yes",1,0),2)</f>
        <v>0</v>
      </c>
      <c r="G8" s="13">
        <f>0.5*IF('DRM Diagnostic'!K30="Yes",1,0)+0.5*IF('DRM Diagnostic'!K35="Yes",1,0)</f>
        <v>0</v>
      </c>
      <c r="I8" t="str">
        <f t="shared" si="0"/>
        <v>Risk Reduction,Sector-specific risk reduction measures,0,0,0,0</v>
      </c>
    </row>
    <row r="9" spans="2:9" x14ac:dyDescent="0.3">
      <c r="B9" s="13" t="s">
        <v>71</v>
      </c>
      <c r="C9" s="13" t="s">
        <v>83</v>
      </c>
      <c r="D9" s="13">
        <f>IF('DRM Diagnostic'!E38="Yes",1,0)</f>
        <v>0</v>
      </c>
      <c r="E9" s="13">
        <f>IF('DRM Diagnostic'!G38="Yes",1,0)</f>
        <v>0</v>
      </c>
      <c r="F9" s="13">
        <f>IF('DRM Diagnostic'!I38="Yes",1,0)</f>
        <v>0</v>
      </c>
      <c r="G9" s="13">
        <f>IF('DRM Diagnostic'!K38="Yes",1,0)</f>
        <v>0</v>
      </c>
      <c r="I9" t="str">
        <f t="shared" si="0"/>
        <v>Preparedness,Early warning systems,0,0,0,0</v>
      </c>
    </row>
    <row r="10" spans="2:9" x14ac:dyDescent="0.3">
      <c r="B10" s="13" t="s">
        <v>71</v>
      </c>
      <c r="C10" s="13" t="s">
        <v>84</v>
      </c>
      <c r="D10" s="13">
        <f>IF('DRM Diagnostic'!E40="Yes",1,0)</f>
        <v>0</v>
      </c>
      <c r="E10" s="13">
        <f>IF('DRM Diagnostic'!G40="Yes",1,0)</f>
        <v>0</v>
      </c>
      <c r="F10" s="13">
        <f>0.5*IF('DRM Diagnostic'!I40="Yes",1,0) + 0.5*IF('DRM Diagnostic'!I41="Yes",1,0)</f>
        <v>0</v>
      </c>
      <c r="G10" s="13">
        <f>IF('DRM Diagnostic'!K40="Yes",1,0)</f>
        <v>0</v>
      </c>
      <c r="I10" t="str">
        <f t="shared" si="0"/>
        <v>Preparedness,Emergency preparedness and response,0,0,0,0</v>
      </c>
    </row>
    <row r="11" spans="2:9" x14ac:dyDescent="0.3">
      <c r="B11" s="13" t="s">
        <v>71</v>
      </c>
      <c r="C11" s="13" t="s">
        <v>85</v>
      </c>
      <c r="D11" s="13">
        <f>IF('DRM Diagnostic'!E43="Yes",1,0)</f>
        <v>0</v>
      </c>
      <c r="E11" s="13">
        <f>IF('DRM Diagnostic'!G43="Yes",1,0)</f>
        <v>0</v>
      </c>
      <c r="F11" s="13">
        <f>IF('DRM Diagnostic'!I43="Yes",1,0)</f>
        <v>0</v>
      </c>
      <c r="G11" s="13">
        <f>IF('DRM Diagnostic'!K43="Yes",1,0)</f>
        <v>0</v>
      </c>
      <c r="I11" t="str">
        <f t="shared" si="0"/>
        <v>Preparedness,Adaptive social protection,0,0,0,0</v>
      </c>
    </row>
    <row r="12" spans="2:9" x14ac:dyDescent="0.3">
      <c r="B12" s="13" t="s">
        <v>72</v>
      </c>
      <c r="C12" s="13" t="s">
        <v>67</v>
      </c>
      <c r="D12" s="13">
        <f>IF('DRM Diagnostic'!E45="Yes",1,0)</f>
        <v>0</v>
      </c>
      <c r="E12" s="13">
        <f>IF('DRM Diagnostic'!G45="Yes",1,0)</f>
        <v>0</v>
      </c>
      <c r="F12" s="13">
        <f>IF('DRM Diagnostic'!I45="Yes",1,0)</f>
        <v>0</v>
      </c>
      <c r="G12" s="13">
        <f>IF('DRM Diagnostic'!K45="Yes",1,0)</f>
        <v>0</v>
      </c>
      <c r="I12" t="str">
        <f t="shared" si="0"/>
        <v>Financial Protection,Fiscal risk management,0,0,0,0</v>
      </c>
    </row>
    <row r="13" spans="2:9" x14ac:dyDescent="0.3">
      <c r="B13" s="13" t="s">
        <v>72</v>
      </c>
      <c r="C13" s="13" t="s">
        <v>81</v>
      </c>
      <c r="D13" s="13">
        <f>IF('DRM Diagnostic'!E47="Yes",1,0)</f>
        <v>0</v>
      </c>
      <c r="E13" s="13">
        <f>0.5*IF('DRM Diagnostic'!G47="Yes",1,0)+0.5*IF('DRM Diagnostic'!G48="Yes",1,0)</f>
        <v>0</v>
      </c>
      <c r="F13" s="13">
        <f>IF('DRM Diagnostic'!I47="Yes",1,0)</f>
        <v>0</v>
      </c>
      <c r="G13" s="13">
        <f>IF('DRM Diagnostic'!K47="Yes",1,0)</f>
        <v>0</v>
      </c>
      <c r="I13" t="str">
        <f t="shared" si="0"/>
        <v>Financial Protection,DRF strategies and instruments,0,0,0,0</v>
      </c>
    </row>
    <row r="14" spans="2:9" x14ac:dyDescent="0.3">
      <c r="B14" s="13" t="s">
        <v>68</v>
      </c>
      <c r="C14" s="13" t="s">
        <v>86</v>
      </c>
      <c r="D14" s="13">
        <f>IF('DRM Diagnostic'!E50="Yes",1,0)</f>
        <v>0</v>
      </c>
      <c r="E14" s="13">
        <f>IF('DRM Diagnostic'!G50="Yes",1,0)</f>
        <v>0</v>
      </c>
      <c r="F14" s="13">
        <f>IF('DRM Diagnostic'!I50="Yes",1,0)</f>
        <v>0</v>
      </c>
      <c r="G14" s="13">
        <f>IF('DRM Diagnostic'!K50="Yes",1,0)</f>
        <v>0</v>
      </c>
      <c r="I14" t="str">
        <f t="shared" si="0"/>
        <v>Resilient Reconstruction,Resilient reconstruction,0,0,0,0</v>
      </c>
    </row>
    <row r="16" spans="2:9" x14ac:dyDescent="0.3">
      <c r="C16" s="6"/>
    </row>
    <row r="46" spans="2:2" x14ac:dyDescent="0.3">
      <c r="B46" t="s">
        <v>91</v>
      </c>
    </row>
    <row r="47" spans="2:2" x14ac:dyDescent="0.3">
      <c r="B47" s="20"/>
    </row>
  </sheetData>
  <sheetProtection algorithmName="SHA-512" hashValue="guScLaW1msqZa/7T/I6g5INETt6eOkQCzQBLfjTVWBj9GnsPd5IIrA1ePwMv55yqQPYajoQnKigGfNGxKzW7yg==" saltValue="FpjmMvsD1dnzZDAeHqznC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DRM Diagnostic</vt:lpstr>
      <vt:lpstr>Summary (to be hidden)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VDB</dc:creator>
  <cp:keywords/>
  <dc:description/>
  <cp:lastModifiedBy>Joaquin Munoz Diaz</cp:lastModifiedBy>
  <cp:revision/>
  <dcterms:created xsi:type="dcterms:W3CDTF">2025-11-03T15:08:11Z</dcterms:created>
  <dcterms:modified xsi:type="dcterms:W3CDTF">2025-12-11T10:58:37Z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2025-11-03T15:41:25Z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62d7a113-bfc2-40be-a25f-7fd6196ccc61</vt:lpwstr>
  </property>
  <property fmtid="{D5CDD505-2E9C-101B-9397-08002B2CF9AE}" pid="8" name="MSIP_Label_f1bf45b6-5649-4236-82a3-f45024cd282e_ContentBits">
    <vt:lpwstr>2</vt:lpwstr>
  </property>
  <property fmtid="{D5CDD505-2E9C-101B-9397-08002B2CF9AE}" pid="9" name="MSIP_Label_f1bf45b6-5649-4236-82a3-f45024cd282e_Tag">
    <vt:lpwstr>10, 3, 0, 2</vt:lpwstr>
  </property>
</Properties>
</file>