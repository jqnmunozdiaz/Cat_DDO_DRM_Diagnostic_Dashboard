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orldbankgroup-my.sharepoint.com/personal/lcorroyer_worldbank_org/Documents/00_COUNTRY/CAMEROON/Cat-DDO/Quick Cat-DDO Diagnostic GFDRR/"/>
    </mc:Choice>
  </mc:AlternateContent>
  <xr:revisionPtr revIDLastSave="47" documentId="8_{DC23AE98-38F7-4F8B-8DB3-0AC57127D499}" xr6:coauthVersionLast="47" xr6:coauthVersionMax="47" xr10:uidLastSave="{1F28D1B9-C88A-4A07-84DD-B83AB31463E5}"/>
  <bookViews>
    <workbookView xWindow="28680" yWindow="-120" windowWidth="29040" windowHeight="15720" xr2:uid="{D35593D8-ABCE-4EA8-921D-2F7793671AB9}"/>
  </bookViews>
  <sheets>
    <sheet name="DRM Diagnostic"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 l="1"/>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15" i="5"/>
  <c r="B10" i="5" l="1"/>
</calcChain>
</file>

<file path=xl/sharedStrings.xml><?xml version="1.0" encoding="utf-8"?>
<sst xmlns="http://schemas.openxmlformats.org/spreadsheetml/2006/main" count="205" uniqueCount="155">
  <si>
    <t>DRM Pillar</t>
  </si>
  <si>
    <t>1. Legal and Institutional DRM Framework</t>
  </si>
  <si>
    <t>1.1. DRM policies and institutions</t>
  </si>
  <si>
    <t xml:space="preserve">Did the institution responsible for coordinating or leading DRM activities receive dedicated funding for these functions in the last fiscal year? </t>
  </si>
  <si>
    <t>1.2. Mainstreaming DRM into national and sectoral development plans</t>
  </si>
  <si>
    <t>2. Risk Identification</t>
  </si>
  <si>
    <t>3. Risk Reduction</t>
  </si>
  <si>
    <t>3.1. Territorial and urban planning</t>
  </si>
  <si>
    <t>3.2. Public investment at the central level</t>
  </si>
  <si>
    <t>Do laws and regulations mandate disaster and climate risk screening as part of the appraisal of new public investment projects?</t>
  </si>
  <si>
    <t>3.3. Sector-specific risk reduction measures</t>
  </si>
  <si>
    <t>Is there at least one legally binding building code or standard that requires earthquake-resistant or other hazard-resistant (e.g., wind, flood) design for buildings?</t>
  </si>
  <si>
    <t>4. Preparedness</t>
  </si>
  <si>
    <t>4.1. Early Warning Systems (EWS)</t>
  </si>
  <si>
    <t>Do institutions involved in EWS—data producers, decision-makers, and implementers of preparedness and response—operate under an established, functional coordination mechanism, evidenced by formal arrangements such as MoUs or regular coordination platform meetings?</t>
  </si>
  <si>
    <t xml:space="preserve">Over the most recent major disaster, was the population promptly alerted (e.g., via SMS or other tailored communication channels)? </t>
  </si>
  <si>
    <t>Over the past four years, has there been at least one budget allocation for the expansion, maintenance, or operation of the hydrometeorological network?</t>
  </si>
  <si>
    <t>4.2. Emergency Preparedness and Response (EP&amp;R)</t>
  </si>
  <si>
    <t xml:space="preserve">Is there a legal framework for EP&amp;R clearly defining the roles and responsibilities of institutions involved in disaster management? </t>
  </si>
  <si>
    <t xml:space="preserve">Do emergency preparedness plans incorporate gender-sensitive measures, such as gender-based violence prevention, safe shelters, and women's specific needs during evacuation and displacement? </t>
  </si>
  <si>
    <t>4.3. Adaptive Social Protection (ASP)</t>
  </si>
  <si>
    <t>Is there a legal framework clearly defining the roles and responsibilities of institutions involved in ASP (e.g., social protection, finance, DRM)?</t>
  </si>
  <si>
    <t>Is there a unified social registry incorporating exposure and vulnerability data to facilitate the targeting of population potentially affected in case of disaster or climate-related shocks?</t>
  </si>
  <si>
    <t>5. Financial Protection</t>
  </si>
  <si>
    <t>5.1. Fiscal risk management</t>
  </si>
  <si>
    <t>Are contingent liabilities associated with disasters quantified through an established methodology for the major hazards?</t>
  </si>
  <si>
    <t>Has the government conducted stress tests of public debt that include disaster or climate-related scenarios?</t>
  </si>
  <si>
    <t>5.2. Disaster Risk Financing (DRF) strategies and instruments</t>
  </si>
  <si>
    <t>6. Resilient Reconstruction</t>
  </si>
  <si>
    <t>Are there laws or regulations that establish the institutions responsible for coordinating post-disaster recovery and reconstruction?</t>
  </si>
  <si>
    <t>Have guidelines or regulations to conduct post-disaster damage and needs assessments been developed and approved?</t>
  </si>
  <si>
    <t>Instructions</t>
  </si>
  <si>
    <t>Thematic Area</t>
  </si>
  <si>
    <t xml:space="preserve">Do official guidelines exist defining disaster and climate risk screening methodologies for new public investment projects? </t>
  </si>
  <si>
    <t>Do key fiscal policy documents (e.g., the medium-term fiscal framework or fiscal risk statements) include quantified assessments of disaster risks?</t>
  </si>
  <si>
    <t>Do laws and regulations clearly define institutional responsibilities and mandates for producing, acquiring, and managing geospatial information, including risk information (e.g., hazard information, vulnerability assessments, risk profiles, historical disaster databases)?</t>
  </si>
  <si>
    <t>Are there legal and institutional arrangements for water supply and sanitation in urban areas that take flood risk into account?</t>
  </si>
  <si>
    <t>Do available national risk assessments or disaster risk profiles account for the potential impacts of climate change on hazard intensity and frequency?</t>
  </si>
  <si>
    <t>Do guidelines or procedures for managing housing/settlements located in high-risk areas exist?</t>
  </si>
  <si>
    <t xml:space="preserve">Do official methodologies to guide the development of risk-informed territorial, spatial, land use or urban planning instruments exist? </t>
  </si>
  <si>
    <t>Has any public project or program in the past four years been allocated funding for retrofitting activities that follow vulnerability assessments and resilient design standards?</t>
  </si>
  <si>
    <t>Are risk mitigation measures mandatory for new projects that have been appraised as high-risk (or equivalent) through the disaster and climate screening process?</t>
  </si>
  <si>
    <t xml:space="preserve">Has the Ministry of Finance created or tasked an existing institutional structure (e.g., department, unit, committee) to manage contingent liabilities and/or fiscal risks, explicitly including those associated with disasters and/or climate-related shocks? </t>
  </si>
  <si>
    <t>Are there sovereign risk financing instruments (e.g., disaster or emergency funds, contingent loans, insurance, cat bonds) in place to manage the financial impact of disasters and climate-related shocks?</t>
  </si>
  <si>
    <t>Are there regulations that define standards for catastrophe insurance coverage of public or private assets?</t>
  </si>
  <si>
    <t>Question</t>
  </si>
  <si>
    <t>1. Answer the questions below.</t>
  </si>
  <si>
    <t>2. Go to the following website. The website may take some time to load, please retry if needed.</t>
  </si>
  <si>
    <t>https://cat-ddo-drm-diagnostic-dashboard.onrender.com</t>
  </si>
  <si>
    <t>Weight</t>
  </si>
  <si>
    <t xml:space="preserve">(2) education (schools) </t>
  </si>
  <si>
    <t>(3) health (hospitals)</t>
  </si>
  <si>
    <t>(4) energy infrastructure?</t>
  </si>
  <si>
    <t>Are there legally binding standards or technical guidelines for the design and construction of disaster-resilient critical infrastructure in the following sectors: (1) transport (roads)</t>
  </si>
  <si>
    <t>Answer 
(Yes / No)</t>
  </si>
  <si>
    <t xml:space="preserve">Have DRM policy instruments (e.g., DRM strategies or policies) been officially approved since the adoption of the DRM legal framework? </t>
  </si>
  <si>
    <t>Have DRM-related regulations (e.g., rules on the structure or functions of the DRM agency) been officially approved since the adoption of the DRM legal framework?</t>
  </si>
  <si>
    <t xml:space="preserve">Do at least 50% of essential government entities have an emergency response protocol or operational continuity plan? </t>
  </si>
  <si>
    <t>Do at least 50% of subnational EP&amp;R entities (e.g., Local Emergency Management Committee) have an approved contingency plan or emergency response protocol?</t>
  </si>
  <si>
    <t>During the most recent disaster or climate-related shock, was support promptly provided to the population through social‐protection programs? (e.g., cash transfers in the case of flood/drought)?</t>
  </si>
  <si>
    <t xml:space="preserve">Is existing hazard and risk information available to all essential government entities (e.g., as evidenced through a set of MoUs or formal exchange mechanisms)? </t>
  </si>
  <si>
    <t>Is existing hazard and risk information accessible to all citizens through open-data platforms?</t>
  </si>
  <si>
    <t>Do laws and regulations mandate the use of risk information (e.g., hazard maps, risk assessments) to develop territorial, spatial, land use, or urban planning instruments?</t>
  </si>
  <si>
    <t>Is there a legal framework (e.g., a DRM law or other legally-binding instruments) defining distinct responsibilities for disaster risk reduction and emergency management?</t>
  </si>
  <si>
    <t>Does the National Development Strategy (or equivalent national planning instrument) contain objectives, targets or indicators related to DRM and/or Climate Change Adaptation?</t>
  </si>
  <si>
    <t>Have at least 50% of essential government entities* included explicit DRM and/or Climate Change Adaptation targets and indicators in their most recent strategic planning documents?</t>
  </si>
  <si>
    <t>Have at least 50% of the instruments (territorial, spatial, land use or urban planning) approved in the last four years used risk information (e.g., hazard maps, risk assessments)?</t>
  </si>
  <si>
    <t>Have any watershed basins undergone improvements in water management in the last four years?</t>
  </si>
  <si>
    <t>Has the percentage of urban residents with access to sewage services been maintained or increased in the last four years?</t>
  </si>
  <si>
    <t>Are there legal and institutional arrangements for integrated water resources management that explicitly incorporate flood and drought risk considerations?</t>
  </si>
  <si>
    <t>Over the past four years, has the $ amount of financing that can be mobilized through sovereign risk financing instruments increased?</t>
  </si>
  <si>
    <r>
      <t xml:space="preserve">After the most recent major disaster, have the zoning, land use or territorial planning instruments in the affected areas been reviewed to </t>
    </r>
    <r>
      <rPr>
        <i/>
        <sz val="11"/>
        <color theme="1"/>
        <rFont val="Aptos Narrow"/>
        <family val="2"/>
        <scheme val="minor"/>
      </rPr>
      <t>build back better</t>
    </r>
    <r>
      <rPr>
        <sz val="11"/>
        <color theme="1"/>
        <rFont val="Aptos Narrow"/>
        <family val="2"/>
        <scheme val="minor"/>
      </rPr>
      <t>?</t>
    </r>
  </si>
  <si>
    <t>No.</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</si>
  <si>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</si>
  <si>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</si>
  <si>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</si>
  <si>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</si>
  <si>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</si>
  <si>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</si>
  <si>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</si>
  <si>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</si>
  <si>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</si>
  <si>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</si>
  <si>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</si>
  <si>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</si>
  <si>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</si>
  <si>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</si>
  <si>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</si>
  <si>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</si>
  <si>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</si>
  <si>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</si>
  <si>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</si>
  <si>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</si>
  <si>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</si>
  <si>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</si>
  <si>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</si>
  <si>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</si>
  <si>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</si>
  <si>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</si>
  <si>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</si>
  <si>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</si>
  <si>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</si>
  <si>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</si>
  <si>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</si>
  <si>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</si>
  <si>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</si>
  <si>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</si>
  <si>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</si>
  <si>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</si>
  <si>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</si>
  <si>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</si>
  <si>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</si>
  <si>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</si>
  <si>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</si>
  <si>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Q42</t>
  </si>
  <si>
    <t>Q43</t>
  </si>
  <si>
    <t>Q44</t>
  </si>
  <si>
    <t>Q45</t>
  </si>
  <si>
    <t>Q46</t>
  </si>
  <si>
    <t>Q47</t>
  </si>
  <si>
    <t>* Essential government entities refer to the main ministry or agency in charge of the followings eight sectors: Agriculture, Education, Housing, Health, Energy, Tourism, Transport, Water and Sanitation.</t>
  </si>
  <si>
    <t>3. Copy and Paste Cell B10 to the website</t>
  </si>
  <si>
    <t xml:space="preserve"> </t>
  </si>
  <si>
    <t>Blanks</t>
  </si>
  <si>
    <t>Disaster Risk Management Policy Diagnostic Tool</t>
  </si>
  <si>
    <t>Yes</t>
  </si>
  <si>
    <t>No</t>
  </si>
  <si>
    <t>yes, but not in right format</t>
  </si>
  <si>
    <t>at which level?</t>
  </si>
  <si>
    <t>what if private?</t>
  </si>
  <si>
    <t>requires development knowledge</t>
  </si>
  <si>
    <t>there is DRF, but what about implementation?</t>
  </si>
  <si>
    <t>but overalapps between DRR and emergency mgt</t>
  </si>
  <si>
    <t>yes and no, fragmented and overlapps</t>
  </si>
  <si>
    <t>partly, products only, lots of gaps</t>
  </si>
  <si>
    <t>partly, rare</t>
  </si>
  <si>
    <t>but limited; shouod be  separated between urban rurlal ; better question would be whether have they taken any action based on information received</t>
  </si>
  <si>
    <t>ONR ONACC (duplicated tasks with Meteo, not just a budget question) - but this might complicate further</t>
  </si>
  <si>
    <t>Does ARC applies ? Membership level/Cotisation</t>
  </si>
  <si>
    <t>there is a law on civil protection, including establishing a civil protection fund, but it doesn’t mention social protection programs or ministries and is more focused on non-food items and shelter, etc. rather than on emergency cash transfers or cash for work. This would be a great one to tackle through the Cat-DDO</t>
  </si>
  <si>
    <t>(there is a social registry that is being used for the targeting of social protection programs, including in emergencies, but it doesn’t incorporate exposure and vulnerability data – so this could be a low hanging fruit).</t>
  </si>
  <si>
    <t>(social protection response to the recent flood at the end of 2024 in the north and the west; but other disasters have happened, notably drought, which were either handled by the humanitarian system or not at all).</t>
  </si>
  <si>
    <t>of there own, partly, only one private initiative. CAMTEL (a State-Owned Enterprise) assess/includes risk</t>
  </si>
  <si>
    <t>Yes, but insufficient</t>
  </si>
  <si>
    <t>Yes, but not implemented</t>
  </si>
  <si>
    <t>Anszered "No", but also without a comprehensive overview of ALL projects in country</t>
  </si>
  <si>
    <r>
      <t>Yes, but not implemented; arrangements means effective capacities. The Water team also mentioned that "</t>
    </r>
    <r>
      <rPr>
        <sz val="11"/>
        <color rgb="FFFF0000"/>
        <rFont val="Aptos Narrow"/>
        <family val="2"/>
        <scheme val="minor"/>
      </rPr>
      <t>We consider that flood risk is acknowledged at the policy level. The Policy recognizes floods as recurrent water-related risks, linked to climate variability and change, and frames risk prevention, emergency management, and institutional coordination as responsibilities of the water sector. At the same time, we acknowledge that this recognition remains largely strategic and high-level. The Policy does not yet translate flood risk considerations into detailed or operational measures, which are expected to be developed through subsequent instruments and sectoral or basin-level strategies. From this perspective, while flood risk is taken into account in principle, its practical treatment may appear limited in scope at this stage."</t>
    </r>
  </si>
  <si>
    <r>
      <rPr>
        <sz val="11"/>
        <rFont val="Aptos"/>
        <family val="2"/>
      </rPr>
      <t xml:space="preserve">The Water team mentoined that </t>
    </r>
    <r>
      <rPr>
        <sz val="11"/>
        <color rgb="FFFF0000"/>
        <rFont val="Aptos"/>
        <family val="2"/>
      </rPr>
      <t>:"While the National Water Policy and the National Climate Plan refer to floods, droughts, and emergency management, they do not explicitly frame these issues within an integrated water resources management (IWRM) approach. References to IWRM remain conceptual and institutional, without a clear linkage to disaster risk management. On this basis, we considered that a “No” response was more appropriate."</t>
    </r>
  </si>
  <si>
    <t xml:space="preserve"> Yes, but very disfunctional, difference offiical and in practice; meteo, ONAC, ONR, mais pas coorodonne.</t>
  </si>
  <si>
    <t>Yes, bit not sufficient though, and not really functional/overlaps etc.</t>
  </si>
  <si>
    <t>check with SP team</t>
  </si>
  <si>
    <t xml:space="preserve">Check with MTI </t>
  </si>
  <si>
    <t>Yes, but on paper</t>
  </si>
  <si>
    <t>To check, but mainly by donors</t>
  </si>
  <si>
    <t>Yes, but not 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</si>
</sst>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rgb="FFFA7D00"/>
      <name val="Aptos Narrow"/>
      <family val="2"/>
      <scheme val="minor"/>
    </font>
    <font>
      <b/>
      <sz val="15"/>
      <color theme="3"/>
      <name val="Aptos Narrow"/>
      <family val="2"/>
      <scheme val="minor"/>
    </font>
    <font>
      <i/>
      <sz val="11"/>
      <color rgb="FF7F7F7F"/>
      <name val="Aptos Narrow"/>
      <family val="2"/>
      <scheme val="minor"/>
    </font>
    <font>
      <u/>
      <sz val="11"/>
      <color theme="10"/>
      <name val="Aptos Narrow"/>
      <family val="2"/>
      <scheme val="minor"/>
    </font>
    <font>
      <sz val="11"/>
      <color theme="1"/>
      <name val="Aptos Narrow"/>
      <family val="2"/>
      <scheme val="minor"/>
    </font>
    <font>
      <b/>
      <sz val="11"/>
      <color theme="1"/>
      <name val="Aptos Narrow"/>
      <family val="2"/>
      <scheme val="minor"/>
    </font>
    <font>
      <b/>
      <u/>
      <sz val="11"/>
      <color theme="1"/>
      <name val="Aptos"/>
      <family val="2"/>
    </font>
    <font>
      <sz val="11"/>
      <color theme="1"/>
      <name val="Aptos"/>
      <family val="2"/>
    </font>
    <font>
      <i/>
      <sz val="11"/>
      <color theme="1"/>
      <name val="Aptos Narrow"/>
      <family val="2"/>
      <scheme val="minor"/>
    </font>
    <font>
      <sz val="8"/>
      <name val="Aptos Narrow"/>
      <family val="2"/>
      <scheme val="minor"/>
    </font>
    <font>
      <u/>
      <sz val="11"/>
      <color theme="10"/>
      <name val="Aptos"/>
      <family val="2"/>
    </font>
    <font>
      <i/>
      <sz val="11"/>
      <color rgb="FF7F7F7F"/>
      <name val="Aptos"/>
      <family val="2"/>
    </font>
    <font>
      <sz val="12"/>
      <color rgb="FFFF0000"/>
      <name val="Aptos"/>
      <family val="2"/>
    </font>
    <font>
      <sz val="11"/>
      <color rgb="FFFF0000"/>
      <name val="Aptos Narrow"/>
      <family val="2"/>
      <scheme val="minor"/>
    </font>
    <font>
      <sz val="11"/>
      <color rgb="FFFF0000"/>
      <name val="Aptos"/>
      <family val="2"/>
    </font>
    <font>
      <sz val="11"/>
      <name val="Aptos"/>
      <family val="2"/>
    </font>
  </fonts>
  <fills count="6">
    <fill>
      <patternFill patternType="none"/>
    </fill>
    <fill>
      <patternFill patternType="gray125"/>
    </fill>
    <fill>
      <patternFill patternType="solid">
        <fgColor rgb="FFF2F2F2"/>
      </patternFill>
    </fill>
    <fill>
      <patternFill patternType="solid">
        <fgColor theme="4" tint="0.79998168889431442"/>
        <bgColor indexed="65"/>
      </patternFill>
    </fill>
    <fill>
      <patternFill patternType="solid">
        <fgColor theme="4" tint="0.39997558519241921"/>
        <bgColor indexed="65"/>
      </patternFill>
    </fill>
    <fill>
      <patternFill patternType="solid">
        <fgColor theme="0"/>
        <bgColor indexed="64"/>
      </patternFill>
    </fill>
  </fills>
  <borders count="2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7">
    <xf numFmtId="0" fontId="0" fillId="0" borderId="0"/>
    <xf numFmtId="0" fontId="1" fillId="2" borderId="1" applyNumberFormat="0" applyBorder="0" applyAlignment="0" applyProtection="0"/>
    <xf numFmtId="0" fontId="2" fillId="0" borderId="3" applyNumberFormat="0" applyFill="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3" borderId="0" applyNumberFormat="0" applyBorder="0" applyAlignment="0" applyProtection="0"/>
    <xf numFmtId="0" fontId="5" fillId="4" borderId="0" applyNumberFormat="0" applyBorder="0" applyAlignment="0" applyProtection="0"/>
  </cellStyleXfs>
  <cellXfs count="80">
    <xf numFmtId="0" fontId="0" fillId="0" borderId="0" xfId="0"/>
    <xf numFmtId="0" fontId="0" fillId="0" borderId="0" xfId="0" applyAlignment="1">
      <alignment horizontal="center" vertical="center"/>
    </xf>
    <xf numFmtId="0" fontId="7" fillId="0" borderId="0" xfId="0" applyFont="1"/>
    <xf numFmtId="0" fontId="8" fillId="0" borderId="0" xfId="0" applyFont="1" applyAlignment="1">
      <alignment horizontal="left" vertical="center"/>
    </xf>
    <xf numFmtId="0" fontId="8" fillId="0" borderId="0" xfId="0" applyFont="1"/>
    <xf numFmtId="0" fontId="0" fillId="0" borderId="0" xfId="0" applyAlignment="1">
      <alignment horizontal="left"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8" fillId="0" borderId="0" xfId="0" applyFont="1" applyAlignment="1">
      <alignment horizontal="left" vertical="center" wrapText="1"/>
    </xf>
    <xf numFmtId="0" fontId="5" fillId="3" borderId="2" xfId="5" applyBorder="1" applyAlignment="1">
      <alignment horizontal="left" vertical="center" wrapText="1"/>
    </xf>
    <xf numFmtId="0" fontId="5" fillId="3" borderId="8" xfId="5" applyBorder="1" applyAlignment="1">
      <alignment horizontal="left" vertical="center" wrapText="1"/>
    </xf>
    <xf numFmtId="0" fontId="0" fillId="0" borderId="15" xfId="0" applyBorder="1" applyAlignment="1">
      <alignment horizontal="left" vertical="center" wrapText="1"/>
    </xf>
    <xf numFmtId="0" fontId="5" fillId="3" borderId="4" xfId="5" applyBorder="1" applyAlignment="1">
      <alignment horizontal="left" vertical="center" wrapText="1"/>
    </xf>
    <xf numFmtId="0" fontId="5" fillId="3" borderId="5" xfId="5" applyBorder="1" applyAlignment="1">
      <alignment horizontal="left" vertical="center" wrapText="1"/>
    </xf>
    <xf numFmtId="0" fontId="0" fillId="0" borderId="8" xfId="0" applyBorder="1" applyAlignment="1">
      <alignment horizontal="left" vertical="center" wrapText="1"/>
    </xf>
    <xf numFmtId="0" fontId="5" fillId="3" borderId="15" xfId="5" applyBorder="1" applyAlignment="1">
      <alignment horizontal="left" vertical="center" wrapText="1"/>
    </xf>
    <xf numFmtId="0" fontId="6" fillId="4" borderId="7" xfId="6" applyFont="1" applyBorder="1" applyAlignment="1">
      <alignment horizontal="center" vertical="center"/>
    </xf>
    <xf numFmtId="0" fontId="6" fillId="4" borderId="8" xfId="6" applyFont="1" applyBorder="1" applyAlignment="1">
      <alignment horizontal="center" vertical="center"/>
    </xf>
    <xf numFmtId="0" fontId="6" fillId="4" borderId="8" xfId="6" applyFont="1" applyBorder="1" applyAlignment="1">
      <alignment horizontal="center" vertical="center" wrapText="1"/>
    </xf>
    <xf numFmtId="0" fontId="5" fillId="3" borderId="2" xfId="5" applyBorder="1" applyAlignment="1">
      <alignment horizontal="right" vertical="center" wrapText="1"/>
    </xf>
    <xf numFmtId="0" fontId="0" fillId="0" borderId="2" xfId="0" applyBorder="1" applyAlignment="1">
      <alignment horizontal="right" vertical="center" wrapText="1"/>
    </xf>
    <xf numFmtId="0" fontId="6" fillId="4" borderId="21" xfId="6" applyFont="1" applyBorder="1" applyAlignment="1">
      <alignment horizontal="center" vertical="center"/>
    </xf>
    <xf numFmtId="0" fontId="6" fillId="4" borderId="9" xfId="6" applyFont="1" applyBorder="1" applyAlignment="1">
      <alignment horizontal="center" vertical="center" wrapText="1"/>
    </xf>
    <xf numFmtId="0" fontId="2" fillId="0" borderId="3" xfId="2" applyAlignment="1">
      <alignment horizontal="left"/>
    </xf>
    <xf numFmtId="0" fontId="5" fillId="3" borderId="11" xfId="5" applyBorder="1" applyAlignment="1">
      <alignment horizontal="center" vertical="center"/>
    </xf>
    <xf numFmtId="0" fontId="0" fillId="0" borderId="11" xfId="0" applyBorder="1" applyAlignment="1">
      <alignment horizontal="center" vertical="center"/>
    </xf>
    <xf numFmtId="0" fontId="0" fillId="0" borderId="17" xfId="0" applyBorder="1" applyAlignment="1">
      <alignment horizontal="center" vertical="center"/>
    </xf>
    <xf numFmtId="0" fontId="5" fillId="3" borderId="9" xfId="5" applyBorder="1" applyAlignment="1">
      <alignment horizontal="center" vertical="center" wrapText="1"/>
    </xf>
    <xf numFmtId="0" fontId="0" fillId="0" borderId="16" xfId="0" applyBorder="1" applyAlignment="1">
      <alignment horizontal="center" vertical="center"/>
    </xf>
    <xf numFmtId="0" fontId="5" fillId="3" borderId="18" xfId="5" applyBorder="1" applyAlignment="1">
      <alignment horizontal="center" vertical="center"/>
    </xf>
    <xf numFmtId="0" fontId="5" fillId="3" borderId="17" xfId="5" applyBorder="1" applyAlignment="1">
      <alignment horizontal="center" vertical="center"/>
    </xf>
    <xf numFmtId="0" fontId="0" fillId="0" borderId="9" xfId="0" applyBorder="1" applyAlignment="1">
      <alignment horizontal="center" vertical="center"/>
    </xf>
    <xf numFmtId="0" fontId="5" fillId="3" borderId="16" xfId="5" applyBorder="1" applyAlignment="1">
      <alignment horizontal="center" vertical="center"/>
    </xf>
    <xf numFmtId="0" fontId="0" fillId="0" borderId="18" xfId="0" applyBorder="1" applyAlignment="1">
      <alignment horizontal="center" vertical="center"/>
    </xf>
    <xf numFmtId="0" fontId="5" fillId="3" borderId="9" xfId="5" applyBorder="1" applyAlignment="1">
      <alignment horizontal="center" vertical="center"/>
    </xf>
    <xf numFmtId="0" fontId="5" fillId="3" borderId="22" xfId="5"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5" fillId="3" borderId="21" xfId="5" applyBorder="1" applyAlignment="1">
      <alignment horizontal="center" vertical="center"/>
    </xf>
    <xf numFmtId="0" fontId="0" fillId="0" borderId="24" xfId="0" applyBorder="1" applyAlignment="1">
      <alignment horizontal="center" vertical="center"/>
    </xf>
    <xf numFmtId="0" fontId="5" fillId="3" borderId="25" xfId="5" applyBorder="1" applyAlignment="1">
      <alignment horizontal="center" vertical="center"/>
    </xf>
    <xf numFmtId="0" fontId="5" fillId="3" borderId="23" xfId="5" applyBorder="1" applyAlignment="1">
      <alignment horizontal="center" vertical="center"/>
    </xf>
    <xf numFmtId="0" fontId="0" fillId="0" borderId="21" xfId="0" applyBorder="1" applyAlignment="1">
      <alignment horizontal="center" vertical="center"/>
    </xf>
    <xf numFmtId="0" fontId="5" fillId="3" borderId="24" xfId="5" applyBorder="1" applyAlignment="1">
      <alignment horizontal="center" vertical="center"/>
    </xf>
    <xf numFmtId="0" fontId="0" fillId="0" borderId="25" xfId="0" applyBorder="1" applyAlignment="1">
      <alignment horizontal="center" vertical="center"/>
    </xf>
    <xf numFmtId="0" fontId="6" fillId="4" borderId="0" xfId="6" applyFont="1" applyBorder="1" applyAlignment="1">
      <alignment horizontal="center" vertical="center"/>
    </xf>
    <xf numFmtId="0" fontId="5" fillId="3" borderId="0" xfId="5" applyBorder="1" applyAlignment="1">
      <alignment horizontal="center" vertical="center"/>
    </xf>
    <xf numFmtId="0" fontId="8" fillId="5" borderId="0" xfId="0" applyFont="1" applyFill="1"/>
    <xf numFmtId="0" fontId="8" fillId="5" borderId="0" xfId="0" applyFont="1" applyFill="1" applyAlignment="1">
      <alignment horizontal="left" vertical="center" wrapText="1"/>
    </xf>
    <xf numFmtId="0" fontId="0" fillId="5" borderId="0" xfId="0" applyFill="1" applyAlignment="1">
      <alignment horizontal="center" vertical="center"/>
    </xf>
    <xf numFmtId="0" fontId="0" fillId="5" borderId="0" xfId="0" applyFill="1"/>
    <xf numFmtId="0" fontId="8" fillId="5" borderId="0" xfId="0" applyFont="1" applyFill="1" applyAlignment="1">
      <alignment horizontal="left" vertical="center"/>
    </xf>
    <xf numFmtId="0" fontId="11" fillId="0" borderId="0" xfId="4" applyFont="1" applyAlignment="1"/>
    <xf numFmtId="0" fontId="12" fillId="0" borderId="0" xfId="3" applyFont="1"/>
    <xf numFmtId="0" fontId="1" fillId="2" borderId="0" xfId="1" applyBorder="1" applyAlignment="1">
      <alignment wrapText="1"/>
    </xf>
    <xf numFmtId="0" fontId="1" fillId="2" borderId="0" xfId="1" applyBorder="1" applyAlignment="1">
      <alignment horizontal="left"/>
    </xf>
    <xf numFmtId="0" fontId="1" fillId="2" borderId="0" xfId="1" applyBorder="1" applyAlignment="1">
      <alignment horizontal="left" vertical="center" wrapText="1"/>
    </xf>
    <xf numFmtId="0" fontId="13" fillId="0" borderId="0" xfId="0" applyFont="1" applyAlignment="1">
      <alignment wrapText="1"/>
    </xf>
    <xf numFmtId="0" fontId="13" fillId="0" borderId="0" xfId="0" applyFont="1" applyAlignment="1">
      <alignment vertical="center" wrapText="1"/>
    </xf>
    <xf numFmtId="0" fontId="13" fillId="0" borderId="0" xfId="0" applyFont="1" applyAlignment="1">
      <alignment horizontal="left" vertical="top" wrapText="1"/>
    </xf>
    <xf numFmtId="0" fontId="0" fillId="0" borderId="0" xfId="0" applyAlignment="1">
      <alignment horizontal="left"/>
    </xf>
    <xf numFmtId="0" fontId="0" fillId="5" borderId="0" xfId="0" applyFill="1" applyAlignment="1">
      <alignment horizontal="left"/>
    </xf>
    <xf numFmtId="0" fontId="5" fillId="3" borderId="0" xfId="5" applyBorder="1" applyAlignment="1">
      <alignment horizontal="left" vertical="center"/>
    </xf>
    <xf numFmtId="0" fontId="0" fillId="0" borderId="0" xfId="0" applyAlignment="1">
      <alignment horizontal="left" vertical="center"/>
    </xf>
    <xf numFmtId="0" fontId="0" fillId="3" borderId="0" xfId="5" applyFont="1" applyBorder="1" applyAlignment="1">
      <alignment horizontal="left" vertical="center"/>
    </xf>
    <xf numFmtId="0" fontId="15" fillId="0" borderId="0" xfId="0" applyFont="1" applyAlignment="1">
      <alignment horizontal="left" vertical="center" wrapText="1" indent="1"/>
    </xf>
    <xf numFmtId="0" fontId="2" fillId="0" borderId="3" xfId="2" applyAlignment="1">
      <alignment horizontal="left"/>
    </xf>
    <xf numFmtId="0" fontId="0" fillId="0" borderId="19"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20" xfId="0" applyBorder="1" applyAlignment="1">
      <alignment horizontal="left" vertical="center" wrapText="1"/>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0" xfId="0" applyBorder="1" applyAlignment="1">
      <alignment horizontal="left" vertical="center" wrapText="1"/>
    </xf>
  </cellXfs>
  <cellStyles count="7">
    <cellStyle name="20% - Accent1" xfId="5" builtinId="30"/>
    <cellStyle name="60% - Accent1" xfId="6" builtinId="32"/>
    <cellStyle name="Calculation" xfId="1" builtinId="22" customBuiltin="1"/>
    <cellStyle name="Explanatory Text" xfId="3" builtinId="53"/>
    <cellStyle name="Heading 1" xfId="2" builtinId="16"/>
    <cellStyle name="Hyperlink" xfId="4" builtinId="8"/>
    <cellStyle name="Normal" xfId="0" builtinId="0"/>
  </cellStyles>
  <dxfs count="0"/>
  <tableStyles count="0" defaultTableStyle="TableStyleMedium2" defaultPivotStyle="PivotStyleLight16"/>
  <colors>
    <mruColors>
      <color rgb="FFE6F0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at-ddo-drm-diagnostic-dashboard.onrend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5CE87-02FF-4583-93E8-6522C5287CD6}">
  <dimension ref="B2:AY198"/>
  <sheetViews>
    <sheetView showGridLines="0" tabSelected="1" zoomScale="130" zoomScaleNormal="130" workbookViewId="0">
      <selection activeCell="J65" sqref="J65"/>
    </sheetView>
  </sheetViews>
  <sheetFormatPr defaultRowHeight="15" x14ac:dyDescent="0.25"/>
  <cols>
    <col min="1" max="1" width="2.28515625" customWidth="1"/>
    <col min="2" max="2" width="21.28515625" customWidth="1"/>
    <col min="3" max="3" width="23.28515625" customWidth="1"/>
    <col min="4" max="4" width="87.28515625" style="5" customWidth="1"/>
    <col min="5" max="5" width="15.85546875" style="1" customWidth="1"/>
    <col min="6" max="7" width="6.7109375" style="1" hidden="1" customWidth="1"/>
    <col min="8" max="8" width="14" style="1" customWidth="1"/>
    <col min="9" max="9" width="82.28515625" style="61" customWidth="1"/>
    <col min="10" max="10" width="70.42578125" customWidth="1"/>
    <col min="12" max="12" width="20.5703125" customWidth="1"/>
  </cols>
  <sheetData>
    <row r="2" spans="2:51" ht="20.25" thickBot="1" x14ac:dyDescent="0.35">
      <c r="B2" s="67" t="s">
        <v>124</v>
      </c>
      <c r="C2" s="67"/>
      <c r="D2" s="67"/>
      <c r="E2" s="67"/>
      <c r="F2" s="67"/>
      <c r="G2" s="24"/>
    </row>
    <row r="3" spans="2:51" ht="15.75" thickTop="1" x14ac:dyDescent="0.25"/>
    <row r="4" spans="2:51" x14ac:dyDescent="0.25">
      <c r="B4" s="2" t="s">
        <v>31</v>
      </c>
      <c r="C4" s="3"/>
      <c r="D4" s="9"/>
    </row>
    <row r="5" spans="2:51" x14ac:dyDescent="0.25">
      <c r="B5" s="4" t="s">
        <v>46</v>
      </c>
      <c r="C5" s="3"/>
      <c r="D5" s="9"/>
    </row>
    <row r="6" spans="2:51" ht="14.45" customHeight="1" x14ac:dyDescent="0.25">
      <c r="B6" s="4" t="s">
        <v>47</v>
      </c>
      <c r="C6" s="4"/>
      <c r="D6" s="9"/>
    </row>
    <row r="7" spans="2:51" ht="14.45" customHeight="1" x14ac:dyDescent="0.25">
      <c r="B7" s="53" t="s">
        <v>48</v>
      </c>
      <c r="C7" s="4"/>
      <c r="D7" s="9"/>
      <c r="G7" s="1" t="s">
        <v>123</v>
      </c>
    </row>
    <row r="8" spans="2:51" ht="14.45" customHeight="1" x14ac:dyDescent="0.25">
      <c r="B8" s="53"/>
      <c r="C8" s="48"/>
      <c r="D8" s="49"/>
      <c r="E8" s="50"/>
      <c r="F8" s="50"/>
      <c r="G8" s="4">
        <f>COUNTBLANK(E15:E61)</f>
        <v>0</v>
      </c>
      <c r="H8" s="50"/>
      <c r="I8" s="62"/>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row>
    <row r="9" spans="2:51" x14ac:dyDescent="0.25">
      <c r="B9" s="4" t="s">
        <v>121</v>
      </c>
      <c r="C9" s="52"/>
      <c r="D9" s="49"/>
      <c r="E9" s="50"/>
      <c r="F9" s="50"/>
      <c r="G9" s="50"/>
      <c r="H9" s="50"/>
      <c r="I9" s="62"/>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row>
    <row r="10" spans="2:51" x14ac:dyDescent="0.25">
      <c r="B10" s="56" t="str">
        <f>IF(G8&gt;0,_xlfn.CONCAT("Please complete asessment to proceed. Remaining questions: ",G8), _xlfn.TEXTJOIN(";",FALSE,H15:H61))</f>
        <v>Q1,Yes,1;Q2,Yes,1;Q3,Yes,0,5;Q4,No,0,5;Q5,Yes,1;Q6,No,1;Q7,Yes,1;Q8,Yes,0,5;Q9,No,0,5;Q10,No,1;Q11,No,1;Q12,No,0,5;Q13,No,0,5;Q14,No,1;Q15,No,1;Q16,No,1;Q17,No,1;Q18,No,0,25;Q19,No,0,25;Q20,No,0,25;Q21,No,0,25;Q22,Yes,1;Q23,No,1;Q24,Yes,1;Q25,No,1;Q26,No,0,5;Q27,No,0,5;Q28,Yes,1;Q29,Yes,1;Q30,Yes,1;Q31,Yes,1;Q32,No,0,5;Q33,No,0,5;Q34,No,1;Q35,No,1;Q36,No,1;Q37,Yes,1;Q38,No,1;Q39,No,1;Q40,No,0,5;Q41,No,0,5;Q42,Yes,1;Q43,No,1;Q44,No,1;Q45,Yes,1;Q46,No,1;Q47,No,1</v>
      </c>
      <c r="C10" s="55"/>
      <c r="D10" s="57"/>
      <c r="E10" s="50" t="s">
        <v>122</v>
      </c>
      <c r="F10" s="50"/>
      <c r="G10" s="50"/>
      <c r="H10" s="50"/>
      <c r="I10" s="62"/>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row>
    <row r="11" spans="2:51" x14ac:dyDescent="0.25">
      <c r="B11" s="4"/>
    </row>
    <row r="12" spans="2:51" x14ac:dyDescent="0.25">
      <c r="B12" s="54" t="s">
        <v>120</v>
      </c>
    </row>
    <row r="13" spans="2:51" ht="15.75" thickBot="1" x14ac:dyDescent="0.3">
      <c r="B13" s="4"/>
    </row>
    <row r="14" spans="2:51" ht="28.9" customHeight="1" x14ac:dyDescent="0.25">
      <c r="B14" s="17" t="s">
        <v>0</v>
      </c>
      <c r="C14" s="18" t="s">
        <v>32</v>
      </c>
      <c r="D14" s="19" t="s">
        <v>45</v>
      </c>
      <c r="E14" s="23" t="s">
        <v>54</v>
      </c>
      <c r="F14" s="22" t="s">
        <v>49</v>
      </c>
      <c r="G14" s="46" t="s">
        <v>72</v>
      </c>
    </row>
    <row r="15" spans="2:51" ht="42.6" customHeight="1" x14ac:dyDescent="0.25">
      <c r="B15" s="79" t="s">
        <v>1</v>
      </c>
      <c r="C15" s="73" t="s">
        <v>2</v>
      </c>
      <c r="D15" s="10" t="s">
        <v>63</v>
      </c>
      <c r="E15" s="25" t="s">
        <v>125</v>
      </c>
      <c r="F15" s="36">
        <v>1</v>
      </c>
      <c r="G15" s="47" t="s">
        <v>73</v>
      </c>
      <c r="H15" s="1" t="str">
        <f>_xlfn.TEXTJOIN(",",FALSE,G15,E15,F15)</f>
        <v>Q1,Yes,1</v>
      </c>
      <c r="I15" s="63" t="s">
        <v>132</v>
      </c>
    </row>
    <row r="16" spans="2:51" ht="42.6" customHeight="1" x14ac:dyDescent="0.25">
      <c r="B16" s="77"/>
      <c r="C16" s="71"/>
      <c r="D16" s="6" t="s">
        <v>3</v>
      </c>
      <c r="E16" s="26" t="s">
        <v>125</v>
      </c>
      <c r="F16" s="37">
        <v>1</v>
      </c>
      <c r="G16" s="1" t="s">
        <v>74</v>
      </c>
      <c r="H16" s="1" t="str">
        <f t="shared" ref="H16:H61" si="0">_xlfn.TEXTJOIN(",",FALSE,G16,E16,F16)</f>
        <v>Q2,Yes,1</v>
      </c>
      <c r="I16" s="64" t="s">
        <v>143</v>
      </c>
    </row>
    <row r="17" spans="2:9" ht="42.6" customHeight="1" x14ac:dyDescent="0.25">
      <c r="B17" s="77"/>
      <c r="C17" s="71"/>
      <c r="D17" s="10" t="s">
        <v>55</v>
      </c>
      <c r="E17" s="25" t="s">
        <v>125</v>
      </c>
      <c r="F17" s="36">
        <v>0.5</v>
      </c>
      <c r="G17" s="47" t="s">
        <v>75</v>
      </c>
      <c r="H17" s="1" t="str">
        <f t="shared" si="0"/>
        <v>Q3,Yes,0,5</v>
      </c>
      <c r="I17" s="65" t="s">
        <v>143</v>
      </c>
    </row>
    <row r="18" spans="2:9" ht="42.6" customHeight="1" x14ac:dyDescent="0.25">
      <c r="B18" s="77"/>
      <c r="C18" s="72"/>
      <c r="D18" s="6" t="s">
        <v>56</v>
      </c>
      <c r="E18" s="26" t="s">
        <v>126</v>
      </c>
      <c r="F18" s="37">
        <v>0.5</v>
      </c>
      <c r="G18" s="1" t="s">
        <v>76</v>
      </c>
      <c r="H18" s="1" t="str">
        <f t="shared" si="0"/>
        <v>Q4,No,0,5</v>
      </c>
    </row>
    <row r="19" spans="2:9" ht="42.6" customHeight="1" x14ac:dyDescent="0.25">
      <c r="B19" s="77"/>
      <c r="C19" s="73" t="s">
        <v>4</v>
      </c>
      <c r="D19" s="10" t="s">
        <v>64</v>
      </c>
      <c r="E19" s="25" t="s">
        <v>125</v>
      </c>
      <c r="F19" s="36">
        <v>1</v>
      </c>
      <c r="G19" s="47" t="s">
        <v>77</v>
      </c>
      <c r="H19" s="1" t="str">
        <f t="shared" si="0"/>
        <v>Q5,Yes,1</v>
      </c>
    </row>
    <row r="20" spans="2:9" ht="42.6" customHeight="1" thickBot="1" x14ac:dyDescent="0.3">
      <c r="B20" s="77"/>
      <c r="C20" s="71"/>
      <c r="D20" s="7" t="s">
        <v>65</v>
      </c>
      <c r="E20" s="27" t="s">
        <v>126</v>
      </c>
      <c r="F20" s="38">
        <v>1</v>
      </c>
      <c r="G20" s="1" t="s">
        <v>78</v>
      </c>
      <c r="H20" s="1" t="str">
        <f t="shared" si="0"/>
        <v>Q6,No,1</v>
      </c>
    </row>
    <row r="21" spans="2:9" ht="42.6" customHeight="1" x14ac:dyDescent="0.25">
      <c r="B21" s="76" t="s">
        <v>5</v>
      </c>
      <c r="C21" s="76" t="s">
        <v>5</v>
      </c>
      <c r="D21" s="11" t="s">
        <v>35</v>
      </c>
      <c r="E21" s="28" t="s">
        <v>125</v>
      </c>
      <c r="F21" s="39">
        <v>1</v>
      </c>
      <c r="G21" s="47" t="s">
        <v>79</v>
      </c>
      <c r="H21" s="1" t="str">
        <f t="shared" si="0"/>
        <v>Q7,Yes,1</v>
      </c>
      <c r="I21" s="61" t="s">
        <v>133</v>
      </c>
    </row>
    <row r="22" spans="2:9" ht="42.6" customHeight="1" x14ac:dyDescent="0.25">
      <c r="B22" s="77"/>
      <c r="C22" s="77"/>
      <c r="D22" s="6" t="s">
        <v>60</v>
      </c>
      <c r="E22" s="26" t="s">
        <v>125</v>
      </c>
      <c r="F22" s="37">
        <v>0.5</v>
      </c>
      <c r="G22" s="1" t="s">
        <v>80</v>
      </c>
      <c r="H22" s="1" t="str">
        <f t="shared" si="0"/>
        <v>Q8,Yes,0,5</v>
      </c>
      <c r="I22" s="64" t="s">
        <v>127</v>
      </c>
    </row>
    <row r="23" spans="2:9" ht="42.6" customHeight="1" x14ac:dyDescent="0.25">
      <c r="B23" s="77"/>
      <c r="C23" s="77"/>
      <c r="D23" s="10" t="s">
        <v>61</v>
      </c>
      <c r="E23" s="25" t="s">
        <v>126</v>
      </c>
      <c r="F23" s="36">
        <v>0.5</v>
      </c>
      <c r="G23" s="47" t="s">
        <v>81</v>
      </c>
      <c r="H23" s="1" t="str">
        <f t="shared" si="0"/>
        <v>Q9,No,0,5</v>
      </c>
      <c r="I23" s="63" t="s">
        <v>134</v>
      </c>
    </row>
    <row r="24" spans="2:9" ht="42.6" customHeight="1" thickBot="1" x14ac:dyDescent="0.3">
      <c r="B24" s="78"/>
      <c r="C24" s="78"/>
      <c r="D24" s="12" t="s">
        <v>37</v>
      </c>
      <c r="E24" s="29" t="s">
        <v>126</v>
      </c>
      <c r="F24" s="40">
        <v>1</v>
      </c>
      <c r="G24" s="1" t="s">
        <v>82</v>
      </c>
      <c r="H24" s="1" t="str">
        <f t="shared" si="0"/>
        <v>Q10,No,1</v>
      </c>
      <c r="I24" s="64" t="s">
        <v>135</v>
      </c>
    </row>
    <row r="25" spans="2:9" ht="42.6" customHeight="1" x14ac:dyDescent="0.25">
      <c r="B25" s="77" t="s">
        <v>6</v>
      </c>
      <c r="C25" s="71" t="s">
        <v>7</v>
      </c>
      <c r="D25" s="13" t="s">
        <v>62</v>
      </c>
      <c r="E25" s="30" t="s">
        <v>126</v>
      </c>
      <c r="F25" s="41">
        <v>1</v>
      </c>
      <c r="G25" s="47" t="s">
        <v>83</v>
      </c>
      <c r="H25" s="1" t="str">
        <f t="shared" si="0"/>
        <v>Q11,No,1</v>
      </c>
      <c r="I25" s="63" t="s">
        <v>128</v>
      </c>
    </row>
    <row r="26" spans="2:9" ht="42.6" customHeight="1" x14ac:dyDescent="0.25">
      <c r="B26" s="77"/>
      <c r="C26" s="71"/>
      <c r="D26" s="6" t="s">
        <v>39</v>
      </c>
      <c r="E26" s="26" t="s">
        <v>126</v>
      </c>
      <c r="F26" s="37">
        <v>0.5</v>
      </c>
      <c r="G26" s="1" t="s">
        <v>84</v>
      </c>
      <c r="H26" s="1" t="str">
        <f t="shared" si="0"/>
        <v>Q12,No,0,5</v>
      </c>
    </row>
    <row r="27" spans="2:9" ht="42.6" customHeight="1" x14ac:dyDescent="0.25">
      <c r="B27" s="77"/>
      <c r="C27" s="71"/>
      <c r="D27" s="10" t="s">
        <v>38</v>
      </c>
      <c r="E27" s="25" t="s">
        <v>126</v>
      </c>
      <c r="F27" s="36">
        <v>0.5</v>
      </c>
      <c r="G27" s="47" t="s">
        <v>85</v>
      </c>
      <c r="H27" s="1" t="str">
        <f t="shared" si="0"/>
        <v>Q13,No,0,5</v>
      </c>
    </row>
    <row r="28" spans="2:9" ht="42.6" customHeight="1" x14ac:dyDescent="0.25">
      <c r="B28" s="77"/>
      <c r="C28" s="72"/>
      <c r="D28" s="6" t="s">
        <v>66</v>
      </c>
      <c r="E28" s="26" t="s">
        <v>126</v>
      </c>
      <c r="F28" s="37">
        <v>1</v>
      </c>
      <c r="G28" s="1" t="s">
        <v>86</v>
      </c>
      <c r="H28" s="1" t="str">
        <f t="shared" si="0"/>
        <v>Q14,No,1</v>
      </c>
    </row>
    <row r="29" spans="2:9" ht="42.6" customHeight="1" x14ac:dyDescent="0.25">
      <c r="B29" s="77"/>
      <c r="C29" s="73" t="s">
        <v>8</v>
      </c>
      <c r="D29" s="10" t="s">
        <v>9</v>
      </c>
      <c r="E29" s="25" t="s">
        <v>126</v>
      </c>
      <c r="F29" s="36">
        <v>1</v>
      </c>
      <c r="G29" s="47" t="s">
        <v>87</v>
      </c>
      <c r="H29" s="1" t="str">
        <f t="shared" si="0"/>
        <v>Q15,No,1</v>
      </c>
    </row>
    <row r="30" spans="2:9" ht="42.6" customHeight="1" x14ac:dyDescent="0.25">
      <c r="B30" s="77"/>
      <c r="C30" s="71"/>
      <c r="D30" s="6" t="s">
        <v>33</v>
      </c>
      <c r="E30" s="26" t="s">
        <v>126</v>
      </c>
      <c r="F30" s="37">
        <v>1</v>
      </c>
      <c r="G30" s="1" t="s">
        <v>88</v>
      </c>
      <c r="H30" s="1" t="str">
        <f t="shared" si="0"/>
        <v>Q16,No,1</v>
      </c>
    </row>
    <row r="31" spans="2:9" ht="42.6" customHeight="1" x14ac:dyDescent="0.25">
      <c r="B31" s="77"/>
      <c r="C31" s="72"/>
      <c r="D31" s="10" t="s">
        <v>41</v>
      </c>
      <c r="E31" s="25" t="s">
        <v>126</v>
      </c>
      <c r="F31" s="36">
        <v>1</v>
      </c>
      <c r="G31" s="47" t="s">
        <v>89</v>
      </c>
      <c r="H31" s="1" t="str">
        <f t="shared" si="0"/>
        <v>Q17,No,1</v>
      </c>
    </row>
    <row r="32" spans="2:9" ht="42.6" customHeight="1" x14ac:dyDescent="0.25">
      <c r="B32" s="77"/>
      <c r="C32" s="73" t="s">
        <v>10</v>
      </c>
      <c r="D32" s="6" t="s">
        <v>53</v>
      </c>
      <c r="E32" s="26" t="s">
        <v>126</v>
      </c>
      <c r="F32" s="37">
        <v>0.25</v>
      </c>
      <c r="G32" s="1" t="s">
        <v>90</v>
      </c>
      <c r="H32" s="1" t="str">
        <f t="shared" si="0"/>
        <v>Q18,No,0,25</v>
      </c>
    </row>
    <row r="33" spans="2:9" ht="42.6" customHeight="1" x14ac:dyDescent="0.25">
      <c r="B33" s="77"/>
      <c r="C33" s="71"/>
      <c r="D33" s="20" t="s">
        <v>50</v>
      </c>
      <c r="E33" s="25" t="s">
        <v>126</v>
      </c>
      <c r="F33" s="36">
        <v>0.25</v>
      </c>
      <c r="G33" s="47" t="s">
        <v>91</v>
      </c>
      <c r="H33" s="1" t="str">
        <f t="shared" si="0"/>
        <v>Q19,No,0,25</v>
      </c>
    </row>
    <row r="34" spans="2:9" ht="42.6" customHeight="1" x14ac:dyDescent="0.25">
      <c r="B34" s="77"/>
      <c r="C34" s="71"/>
      <c r="D34" s="21" t="s">
        <v>51</v>
      </c>
      <c r="E34" s="26" t="s">
        <v>126</v>
      </c>
      <c r="F34" s="37">
        <v>0.25</v>
      </c>
      <c r="G34" s="1" t="s">
        <v>92</v>
      </c>
      <c r="H34" s="1" t="str">
        <f t="shared" si="0"/>
        <v>Q20,No,0,25</v>
      </c>
    </row>
    <row r="35" spans="2:9" ht="42.6" customHeight="1" x14ac:dyDescent="0.25">
      <c r="B35" s="77"/>
      <c r="C35" s="71"/>
      <c r="D35" s="20" t="s">
        <v>52</v>
      </c>
      <c r="E35" s="25" t="s">
        <v>126</v>
      </c>
      <c r="F35" s="36">
        <v>0.25</v>
      </c>
      <c r="G35" s="47" t="s">
        <v>93</v>
      </c>
      <c r="H35" s="1" t="str">
        <f t="shared" si="0"/>
        <v>Q21,No,0,25</v>
      </c>
      <c r="I35" s="65" t="s">
        <v>142</v>
      </c>
    </row>
    <row r="36" spans="2:9" ht="42.6" customHeight="1" x14ac:dyDescent="0.25">
      <c r="B36" s="77"/>
      <c r="C36" s="71"/>
      <c r="D36" s="6" t="s">
        <v>11</v>
      </c>
      <c r="E36" s="26" t="s">
        <v>125</v>
      </c>
      <c r="F36" s="37">
        <v>1</v>
      </c>
      <c r="G36" s="1" t="s">
        <v>94</v>
      </c>
      <c r="H36" s="1" t="str">
        <f t="shared" si="0"/>
        <v>Q22,Yes,1</v>
      </c>
      <c r="I36" s="64" t="s">
        <v>144</v>
      </c>
    </row>
    <row r="37" spans="2:9" ht="42.6" customHeight="1" x14ac:dyDescent="0.25">
      <c r="B37" s="77"/>
      <c r="C37" s="71"/>
      <c r="D37" s="10" t="s">
        <v>40</v>
      </c>
      <c r="E37" s="25" t="s">
        <v>126</v>
      </c>
      <c r="F37" s="36">
        <v>1</v>
      </c>
      <c r="G37" s="47" t="s">
        <v>95</v>
      </c>
      <c r="H37" s="1" t="str">
        <f t="shared" si="0"/>
        <v>Q23,No,1</v>
      </c>
      <c r="I37" s="65" t="s">
        <v>145</v>
      </c>
    </row>
    <row r="38" spans="2:9" ht="192.75" customHeight="1" x14ac:dyDescent="0.25">
      <c r="B38" s="77"/>
      <c r="C38" s="71"/>
      <c r="D38" s="6" t="s">
        <v>36</v>
      </c>
      <c r="E38" s="26" t="s">
        <v>125</v>
      </c>
      <c r="F38" s="37">
        <v>1</v>
      </c>
      <c r="G38" s="1" t="s">
        <v>96</v>
      </c>
      <c r="H38" s="1" t="str">
        <f t="shared" si="0"/>
        <v>Q24,Yes,1</v>
      </c>
      <c r="I38" s="5" t="s">
        <v>146</v>
      </c>
    </row>
    <row r="39" spans="2:9" ht="117" customHeight="1" x14ac:dyDescent="0.25">
      <c r="B39" s="77"/>
      <c r="C39" s="71"/>
      <c r="D39" s="10" t="s">
        <v>69</v>
      </c>
      <c r="E39" s="25" t="s">
        <v>126</v>
      </c>
      <c r="F39" s="36">
        <v>1</v>
      </c>
      <c r="G39" s="47" t="s">
        <v>97</v>
      </c>
      <c r="H39" s="1" t="str">
        <f t="shared" si="0"/>
        <v>Q25,No,1</v>
      </c>
      <c r="I39" s="66" t="s">
        <v>147</v>
      </c>
    </row>
    <row r="40" spans="2:9" ht="42.6" customHeight="1" x14ac:dyDescent="0.25">
      <c r="B40" s="77"/>
      <c r="C40" s="71"/>
      <c r="D40" s="6" t="s">
        <v>67</v>
      </c>
      <c r="E40" s="26" t="s">
        <v>126</v>
      </c>
      <c r="F40" s="37">
        <v>0.5</v>
      </c>
      <c r="G40" s="1" t="s">
        <v>98</v>
      </c>
      <c r="H40" s="1" t="str">
        <f t="shared" si="0"/>
        <v>Q26,No,0,5</v>
      </c>
      <c r="I40" s="64" t="s">
        <v>129</v>
      </c>
    </row>
    <row r="41" spans="2:9" ht="42.6" customHeight="1" thickBot="1" x14ac:dyDescent="0.3">
      <c r="B41" s="77"/>
      <c r="C41" s="71"/>
      <c r="D41" s="14" t="s">
        <v>68</v>
      </c>
      <c r="E41" s="31" t="s">
        <v>126</v>
      </c>
      <c r="F41" s="42">
        <v>0.5</v>
      </c>
      <c r="G41" s="47" t="s">
        <v>99</v>
      </c>
      <c r="H41" s="1" t="str">
        <f t="shared" si="0"/>
        <v>Q27,No,0,5</v>
      </c>
      <c r="I41" s="64" t="s">
        <v>130</v>
      </c>
    </row>
    <row r="42" spans="2:9" ht="42.6" customHeight="1" x14ac:dyDescent="0.25">
      <c r="B42" s="68" t="s">
        <v>12</v>
      </c>
      <c r="C42" s="74" t="s">
        <v>13</v>
      </c>
      <c r="D42" s="15" t="s">
        <v>14</v>
      </c>
      <c r="E42" s="32" t="s">
        <v>125</v>
      </c>
      <c r="F42" s="43">
        <v>1</v>
      </c>
      <c r="G42" s="1" t="s">
        <v>100</v>
      </c>
      <c r="H42" s="1" t="str">
        <f t="shared" si="0"/>
        <v>Q28,Yes,1</v>
      </c>
      <c r="I42" s="64" t="s">
        <v>148</v>
      </c>
    </row>
    <row r="43" spans="2:9" ht="42.6" customHeight="1" x14ac:dyDescent="0.25">
      <c r="B43" s="69"/>
      <c r="C43" s="71"/>
      <c r="D43" s="10" t="s">
        <v>15</v>
      </c>
      <c r="E43" s="25" t="s">
        <v>125</v>
      </c>
      <c r="F43" s="36">
        <v>1</v>
      </c>
      <c r="G43" s="47" t="s">
        <v>101</v>
      </c>
      <c r="H43" s="1" t="str">
        <f t="shared" si="0"/>
        <v>Q29,Yes,1</v>
      </c>
      <c r="I43" s="64" t="s">
        <v>136</v>
      </c>
    </row>
    <row r="44" spans="2:9" ht="42.6" customHeight="1" x14ac:dyDescent="0.25">
      <c r="B44" s="69"/>
      <c r="C44" s="72"/>
      <c r="D44" s="6" t="s">
        <v>16</v>
      </c>
      <c r="E44" s="26" t="s">
        <v>125</v>
      </c>
      <c r="F44" s="37">
        <v>1</v>
      </c>
      <c r="G44" s="1" t="s">
        <v>102</v>
      </c>
      <c r="H44" s="1" t="str">
        <f t="shared" si="0"/>
        <v>Q30,Yes,1</v>
      </c>
      <c r="I44" s="64" t="s">
        <v>137</v>
      </c>
    </row>
    <row r="45" spans="2:9" ht="42.6" customHeight="1" x14ac:dyDescent="0.25">
      <c r="B45" s="69"/>
      <c r="C45" s="73" t="s">
        <v>17</v>
      </c>
      <c r="D45" s="10" t="s">
        <v>18</v>
      </c>
      <c r="E45" s="25" t="s">
        <v>125</v>
      </c>
      <c r="F45" s="36">
        <v>1</v>
      </c>
      <c r="G45" s="47" t="s">
        <v>103</v>
      </c>
      <c r="H45" s="1" t="str">
        <f t="shared" si="0"/>
        <v>Q31,Yes,1</v>
      </c>
      <c r="I45" s="64" t="s">
        <v>149</v>
      </c>
    </row>
    <row r="46" spans="2:9" ht="42.6" customHeight="1" x14ac:dyDescent="0.25">
      <c r="B46" s="69"/>
      <c r="C46" s="71"/>
      <c r="D46" s="6" t="s">
        <v>57</v>
      </c>
      <c r="E46" s="26" t="s">
        <v>126</v>
      </c>
      <c r="F46" s="37">
        <v>0.5</v>
      </c>
      <c r="G46" s="1" t="s">
        <v>104</v>
      </c>
      <c r="H46" s="1" t="str">
        <f t="shared" si="0"/>
        <v>Q32,No,0,5</v>
      </c>
    </row>
    <row r="47" spans="2:9" ht="42.6" customHeight="1" x14ac:dyDescent="0.25">
      <c r="B47" s="69"/>
      <c r="C47" s="71"/>
      <c r="D47" s="10" t="s">
        <v>58</v>
      </c>
      <c r="E47" s="25" t="s">
        <v>126</v>
      </c>
      <c r="F47" s="36">
        <v>0.5</v>
      </c>
      <c r="G47" s="47" t="s">
        <v>105</v>
      </c>
      <c r="H47" s="1" t="str">
        <f t="shared" si="0"/>
        <v>Q33,No,0,5</v>
      </c>
    </row>
    <row r="48" spans="2:9" ht="42.6" customHeight="1" x14ac:dyDescent="0.25">
      <c r="B48" s="69"/>
      <c r="C48" s="72"/>
      <c r="D48" s="6" t="s">
        <v>19</v>
      </c>
      <c r="E48" s="26" t="s">
        <v>126</v>
      </c>
      <c r="F48" s="37">
        <v>1</v>
      </c>
      <c r="G48" s="1" t="s">
        <v>106</v>
      </c>
      <c r="H48" s="1" t="str">
        <f t="shared" si="0"/>
        <v>Q34,No,1</v>
      </c>
    </row>
    <row r="49" spans="2:10" ht="81" customHeight="1" x14ac:dyDescent="0.25">
      <c r="B49" s="69"/>
      <c r="C49" s="73" t="s">
        <v>20</v>
      </c>
      <c r="D49" s="10" t="s">
        <v>21</v>
      </c>
      <c r="E49" s="25" t="s">
        <v>126</v>
      </c>
      <c r="F49" s="36">
        <v>1</v>
      </c>
      <c r="G49" s="47" t="s">
        <v>107</v>
      </c>
      <c r="H49" s="1" t="str">
        <f t="shared" si="0"/>
        <v>Q35,No,1</v>
      </c>
      <c r="I49" s="65" t="s">
        <v>150</v>
      </c>
      <c r="J49" s="58" t="s">
        <v>139</v>
      </c>
    </row>
    <row r="50" spans="2:10" ht="62.25" customHeight="1" x14ac:dyDescent="0.25">
      <c r="B50" s="69"/>
      <c r="C50" s="71"/>
      <c r="D50" s="6" t="s">
        <v>22</v>
      </c>
      <c r="E50" s="26" t="s">
        <v>126</v>
      </c>
      <c r="F50" s="37">
        <v>1</v>
      </c>
      <c r="G50" s="1" t="s">
        <v>108</v>
      </c>
      <c r="H50" s="1" t="str">
        <f t="shared" si="0"/>
        <v>Q36,No,1</v>
      </c>
      <c r="I50" s="65" t="s">
        <v>150</v>
      </c>
      <c r="J50" s="59" t="s">
        <v>140</v>
      </c>
    </row>
    <row r="51" spans="2:10" ht="65.25" customHeight="1" thickBot="1" x14ac:dyDescent="0.3">
      <c r="B51" s="70"/>
      <c r="C51" s="75"/>
      <c r="D51" s="16" t="s">
        <v>59</v>
      </c>
      <c r="E51" s="33" t="s">
        <v>125</v>
      </c>
      <c r="F51" s="44">
        <v>1</v>
      </c>
      <c r="G51" s="47" t="s">
        <v>109</v>
      </c>
      <c r="H51" s="1" t="str">
        <f t="shared" si="0"/>
        <v>Q37,Yes,1</v>
      </c>
      <c r="I51" s="65" t="s">
        <v>150</v>
      </c>
      <c r="J51" s="60" t="s">
        <v>141</v>
      </c>
    </row>
    <row r="52" spans="2:10" ht="42.6" customHeight="1" x14ac:dyDescent="0.25">
      <c r="B52" s="69" t="s">
        <v>23</v>
      </c>
      <c r="C52" s="71" t="s">
        <v>24</v>
      </c>
      <c r="D52" s="8" t="s">
        <v>42</v>
      </c>
      <c r="E52" s="34" t="s">
        <v>126</v>
      </c>
      <c r="F52" s="45">
        <v>1</v>
      </c>
      <c r="G52" s="1" t="s">
        <v>110</v>
      </c>
      <c r="H52" s="1" t="str">
        <f t="shared" si="0"/>
        <v>Q38,No,1</v>
      </c>
      <c r="I52" s="64" t="s">
        <v>131</v>
      </c>
    </row>
    <row r="53" spans="2:10" ht="42.6" customHeight="1" x14ac:dyDescent="0.25">
      <c r="B53" s="69"/>
      <c r="C53" s="71"/>
      <c r="D53" s="10" t="s">
        <v>25</v>
      </c>
      <c r="E53" s="25" t="s">
        <v>126</v>
      </c>
      <c r="F53" s="36">
        <v>1</v>
      </c>
      <c r="G53" s="47" t="s">
        <v>111</v>
      </c>
      <c r="H53" s="1" t="str">
        <f t="shared" si="0"/>
        <v>Q39,No,1</v>
      </c>
    </row>
    <row r="54" spans="2:10" ht="42.6" customHeight="1" x14ac:dyDescent="0.25">
      <c r="B54" s="69"/>
      <c r="C54" s="71"/>
      <c r="D54" s="6" t="s">
        <v>34</v>
      </c>
      <c r="E54" s="26" t="s">
        <v>126</v>
      </c>
      <c r="F54" s="37">
        <v>0.5</v>
      </c>
      <c r="G54" s="1" t="s">
        <v>112</v>
      </c>
      <c r="H54" s="1" t="str">
        <f t="shared" si="0"/>
        <v>Q40,No,0,5</v>
      </c>
    </row>
    <row r="55" spans="2:10" ht="42.6" customHeight="1" x14ac:dyDescent="0.25">
      <c r="B55" s="69"/>
      <c r="C55" s="72"/>
      <c r="D55" s="10" t="s">
        <v>26</v>
      </c>
      <c r="E55" s="25" t="s">
        <v>126</v>
      </c>
      <c r="F55" s="36">
        <v>0.5</v>
      </c>
      <c r="G55" s="47" t="s">
        <v>113</v>
      </c>
      <c r="H55" s="1" t="str">
        <f t="shared" si="0"/>
        <v>Q41,No,0,5</v>
      </c>
      <c r="I55" s="65" t="s">
        <v>151</v>
      </c>
    </row>
    <row r="56" spans="2:10" ht="42.6" customHeight="1" x14ac:dyDescent="0.25">
      <c r="B56" s="69"/>
      <c r="C56" s="73" t="s">
        <v>27</v>
      </c>
      <c r="D56" s="6" t="s">
        <v>43</v>
      </c>
      <c r="E56" s="26" t="s">
        <v>125</v>
      </c>
      <c r="F56" s="37">
        <v>1</v>
      </c>
      <c r="G56" s="1" t="s">
        <v>114</v>
      </c>
      <c r="H56" s="1" t="str">
        <f t="shared" si="0"/>
        <v>Q42,Yes,1</v>
      </c>
      <c r="I56" s="64" t="s">
        <v>152</v>
      </c>
    </row>
    <row r="57" spans="2:10" ht="42.6" customHeight="1" x14ac:dyDescent="0.25">
      <c r="B57" s="69"/>
      <c r="C57" s="71"/>
      <c r="D57" s="10" t="s">
        <v>44</v>
      </c>
      <c r="E57" s="25" t="s">
        <v>126</v>
      </c>
      <c r="F57" s="36">
        <v>1</v>
      </c>
      <c r="G57" s="47" t="s">
        <v>115</v>
      </c>
      <c r="H57" s="1" t="str">
        <f t="shared" si="0"/>
        <v>Q43,No,1</v>
      </c>
      <c r="I57" s="65" t="s">
        <v>138</v>
      </c>
    </row>
    <row r="58" spans="2:10" ht="42.6" customHeight="1" thickBot="1" x14ac:dyDescent="0.3">
      <c r="B58" s="69"/>
      <c r="C58" s="71"/>
      <c r="D58" s="7" t="s">
        <v>70</v>
      </c>
      <c r="E58" s="27" t="s">
        <v>126</v>
      </c>
      <c r="F58" s="38">
        <v>1</v>
      </c>
      <c r="G58" s="1" t="s">
        <v>116</v>
      </c>
      <c r="H58" s="1" t="str">
        <f t="shared" si="0"/>
        <v>Q44,No,1</v>
      </c>
    </row>
    <row r="59" spans="2:10" ht="42.6" customHeight="1" x14ac:dyDescent="0.25">
      <c r="B59" s="68" t="s">
        <v>28</v>
      </c>
      <c r="C59" s="68" t="s">
        <v>28</v>
      </c>
      <c r="D59" s="11" t="s">
        <v>29</v>
      </c>
      <c r="E59" s="35" t="s">
        <v>125</v>
      </c>
      <c r="F59" s="39">
        <v>1</v>
      </c>
      <c r="G59" s="47" t="s">
        <v>117</v>
      </c>
      <c r="H59" s="1" t="str">
        <f t="shared" si="0"/>
        <v>Q45,Yes,1</v>
      </c>
      <c r="I59" s="61" t="s">
        <v>154</v>
      </c>
    </row>
    <row r="60" spans="2:10" ht="42.6" customHeight="1" x14ac:dyDescent="0.25">
      <c r="B60" s="69"/>
      <c r="C60" s="69"/>
      <c r="D60" s="6" t="s">
        <v>71</v>
      </c>
      <c r="E60" s="26" t="s">
        <v>126</v>
      </c>
      <c r="F60" s="37">
        <v>1</v>
      </c>
      <c r="G60" s="1" t="s">
        <v>118</v>
      </c>
      <c r="H60" s="1" t="str">
        <f t="shared" si="0"/>
        <v>Q46,No,1</v>
      </c>
    </row>
    <row r="61" spans="2:10" ht="42.6" customHeight="1" thickBot="1" x14ac:dyDescent="0.3">
      <c r="B61" s="70"/>
      <c r="C61" s="70"/>
      <c r="D61" s="16" t="s">
        <v>30</v>
      </c>
      <c r="E61" s="33" t="s">
        <v>126</v>
      </c>
      <c r="F61" s="44">
        <v>1</v>
      </c>
      <c r="G61" s="47" t="s">
        <v>119</v>
      </c>
      <c r="H61" s="1" t="str">
        <f t="shared" si="0"/>
        <v>Q47,No,1</v>
      </c>
      <c r="I61" s="65" t="s">
        <v>153</v>
      </c>
    </row>
    <row r="62" spans="2:10" ht="28.9" customHeight="1" x14ac:dyDescent="0.25"/>
    <row r="63" spans="2:10" ht="28.9" customHeight="1" x14ac:dyDescent="0.25"/>
    <row r="64" spans="2:10" ht="28.9" customHeight="1" x14ac:dyDescent="0.25"/>
    <row r="65" ht="28.9" customHeight="1" x14ac:dyDescent="0.25"/>
    <row r="66" ht="28.9" customHeight="1" x14ac:dyDescent="0.25"/>
    <row r="67" ht="28.9" customHeight="1" x14ac:dyDescent="0.25"/>
    <row r="68" ht="28.9" customHeight="1" x14ac:dyDescent="0.25"/>
    <row r="69" ht="28.9" customHeight="1" x14ac:dyDescent="0.25"/>
    <row r="70" ht="28.9" customHeight="1" x14ac:dyDescent="0.25"/>
    <row r="71" ht="28.9" customHeight="1" x14ac:dyDescent="0.25"/>
    <row r="72" ht="28.9" customHeight="1" x14ac:dyDescent="0.25"/>
    <row r="73" ht="28.9" customHeight="1" x14ac:dyDescent="0.25"/>
    <row r="74" ht="28.9" customHeight="1" x14ac:dyDescent="0.25"/>
    <row r="75" ht="28.9" customHeight="1" x14ac:dyDescent="0.25"/>
    <row r="76" ht="28.9" customHeight="1" x14ac:dyDescent="0.25"/>
    <row r="77" ht="28.9" customHeight="1" x14ac:dyDescent="0.25"/>
    <row r="78" ht="28.9" customHeight="1" x14ac:dyDescent="0.25"/>
    <row r="79" ht="28.9" customHeight="1" x14ac:dyDescent="0.25"/>
    <row r="80" ht="28.9" customHeight="1" x14ac:dyDescent="0.25"/>
    <row r="81" ht="28.9" customHeight="1" x14ac:dyDescent="0.25"/>
    <row r="82" ht="28.9" customHeight="1" x14ac:dyDescent="0.25"/>
    <row r="83" ht="28.9" customHeight="1" x14ac:dyDescent="0.25"/>
    <row r="84" ht="28.9" customHeight="1" x14ac:dyDescent="0.25"/>
    <row r="85" ht="28.9" customHeight="1" x14ac:dyDescent="0.25"/>
    <row r="86" ht="28.9" customHeight="1" x14ac:dyDescent="0.25"/>
    <row r="87" ht="28.9" customHeight="1" x14ac:dyDescent="0.25"/>
    <row r="88" ht="28.9" customHeight="1" x14ac:dyDescent="0.25"/>
    <row r="89" ht="28.9" customHeight="1" x14ac:dyDescent="0.25"/>
    <row r="90" ht="28.9" customHeight="1" x14ac:dyDescent="0.25"/>
    <row r="91" ht="28.9" customHeight="1" x14ac:dyDescent="0.25"/>
    <row r="92" ht="28.9" customHeight="1" x14ac:dyDescent="0.25"/>
    <row r="93" ht="28.9" customHeight="1" x14ac:dyDescent="0.25"/>
    <row r="94" ht="28.9" customHeight="1" x14ac:dyDescent="0.25"/>
    <row r="95" ht="28.9" customHeight="1" x14ac:dyDescent="0.25"/>
    <row r="96" ht="28.9" customHeight="1" x14ac:dyDescent="0.25"/>
    <row r="97" ht="28.9" customHeight="1" x14ac:dyDescent="0.25"/>
    <row r="98" ht="28.9" customHeight="1" x14ac:dyDescent="0.25"/>
    <row r="99" ht="28.9" customHeight="1" x14ac:dyDescent="0.25"/>
    <row r="100" ht="28.9" customHeight="1" x14ac:dyDescent="0.25"/>
    <row r="101" ht="28.9" customHeight="1" x14ac:dyDescent="0.25"/>
    <row r="102" ht="28.9" customHeight="1" x14ac:dyDescent="0.25"/>
    <row r="103" ht="28.9" customHeight="1" x14ac:dyDescent="0.25"/>
    <row r="104" ht="28.9" customHeight="1" x14ac:dyDescent="0.25"/>
    <row r="105" ht="28.9" customHeight="1" x14ac:dyDescent="0.25"/>
    <row r="106" ht="28.9" customHeight="1" x14ac:dyDescent="0.25"/>
    <row r="107" ht="28.9" customHeight="1" x14ac:dyDescent="0.25"/>
    <row r="108" ht="28.9" customHeight="1" x14ac:dyDescent="0.25"/>
    <row r="109" ht="28.9" customHeight="1" x14ac:dyDescent="0.25"/>
    <row r="110" ht="28.9" customHeight="1" x14ac:dyDescent="0.25"/>
    <row r="111" ht="28.9" customHeight="1" x14ac:dyDescent="0.25"/>
    <row r="112" ht="28.9" customHeight="1" x14ac:dyDescent="0.25"/>
    <row r="113" ht="28.9" customHeight="1" x14ac:dyDescent="0.25"/>
    <row r="114" ht="28.9" customHeight="1" x14ac:dyDescent="0.25"/>
    <row r="115" ht="28.9" customHeight="1" x14ac:dyDescent="0.25"/>
    <row r="116" ht="28.9" customHeight="1" x14ac:dyDescent="0.25"/>
    <row r="117" ht="28.9" customHeight="1" x14ac:dyDescent="0.25"/>
    <row r="118" ht="28.9" customHeight="1" x14ac:dyDescent="0.25"/>
    <row r="119" ht="28.9" customHeight="1" x14ac:dyDescent="0.25"/>
    <row r="120" ht="28.9" customHeight="1" x14ac:dyDescent="0.25"/>
    <row r="121" ht="28.9" customHeight="1" x14ac:dyDescent="0.25"/>
    <row r="122" ht="28.9" customHeight="1" x14ac:dyDescent="0.25"/>
    <row r="123" ht="28.9" customHeight="1" x14ac:dyDescent="0.25"/>
    <row r="124" ht="28.9" customHeight="1" x14ac:dyDescent="0.25"/>
    <row r="125" ht="28.9" customHeight="1" x14ac:dyDescent="0.25"/>
    <row r="126" ht="28.9" customHeight="1" x14ac:dyDescent="0.25"/>
    <row r="127" ht="28.9" customHeight="1" x14ac:dyDescent="0.25"/>
    <row r="128" ht="28.9" customHeight="1" x14ac:dyDescent="0.25"/>
    <row r="129" ht="28.9" customHeight="1" x14ac:dyDescent="0.25"/>
    <row r="130" ht="28.9" customHeight="1" x14ac:dyDescent="0.25"/>
    <row r="131" ht="28.9" customHeight="1" x14ac:dyDescent="0.25"/>
    <row r="132" ht="28.9" customHeight="1" x14ac:dyDescent="0.25"/>
    <row r="133" ht="28.9" customHeight="1" x14ac:dyDescent="0.25"/>
    <row r="134" ht="28.9" customHeight="1" x14ac:dyDescent="0.25"/>
    <row r="135" ht="28.9" customHeight="1" x14ac:dyDescent="0.25"/>
    <row r="136" ht="28.9" customHeight="1" x14ac:dyDescent="0.25"/>
    <row r="137" ht="28.9" customHeight="1" x14ac:dyDescent="0.25"/>
    <row r="138" ht="28.9" customHeight="1" x14ac:dyDescent="0.25"/>
    <row r="139" ht="28.9" customHeight="1" x14ac:dyDescent="0.25"/>
    <row r="140" ht="28.9" customHeight="1" x14ac:dyDescent="0.25"/>
    <row r="141" ht="28.9" customHeight="1" x14ac:dyDescent="0.25"/>
    <row r="142" ht="28.9" customHeight="1" x14ac:dyDescent="0.25"/>
    <row r="143" ht="28.9" customHeight="1" x14ac:dyDescent="0.25"/>
    <row r="144" ht="28.9" customHeight="1" x14ac:dyDescent="0.25"/>
    <row r="145" ht="28.9" customHeight="1" x14ac:dyDescent="0.25"/>
    <row r="146" ht="28.9" customHeight="1" x14ac:dyDescent="0.25"/>
    <row r="147" ht="28.9" customHeight="1" x14ac:dyDescent="0.25"/>
    <row r="148" ht="28.9" customHeight="1" x14ac:dyDescent="0.25"/>
    <row r="149" ht="28.9" customHeight="1" x14ac:dyDescent="0.25"/>
    <row r="150" ht="28.9" customHeight="1" x14ac:dyDescent="0.25"/>
    <row r="151" ht="28.9" customHeight="1" x14ac:dyDescent="0.25"/>
    <row r="152" ht="28.9" customHeight="1" x14ac:dyDescent="0.25"/>
    <row r="153" ht="28.9" customHeight="1" x14ac:dyDescent="0.25"/>
    <row r="154" ht="28.9" customHeight="1" x14ac:dyDescent="0.25"/>
    <row r="155" ht="28.9" customHeight="1" x14ac:dyDescent="0.25"/>
    <row r="156" ht="28.9" customHeight="1" x14ac:dyDescent="0.25"/>
    <row r="157" ht="28.9" customHeight="1" x14ac:dyDescent="0.25"/>
    <row r="158" ht="28.9" customHeight="1" x14ac:dyDescent="0.25"/>
    <row r="159" ht="28.9" customHeight="1" x14ac:dyDescent="0.25"/>
    <row r="160" ht="28.9" customHeight="1" x14ac:dyDescent="0.25"/>
    <row r="161" ht="28.9" customHeight="1" x14ac:dyDescent="0.25"/>
    <row r="162" ht="28.9" customHeight="1" x14ac:dyDescent="0.25"/>
    <row r="163" ht="28.9" customHeight="1" x14ac:dyDescent="0.25"/>
    <row r="164" ht="28.9" customHeight="1" x14ac:dyDescent="0.25"/>
    <row r="165" ht="28.9" customHeight="1" x14ac:dyDescent="0.25"/>
    <row r="166" ht="28.9" customHeight="1" x14ac:dyDescent="0.25"/>
    <row r="167" ht="28.9" customHeight="1" x14ac:dyDescent="0.25"/>
    <row r="168" ht="28.9" customHeight="1" x14ac:dyDescent="0.25"/>
    <row r="169" ht="28.9" customHeight="1" x14ac:dyDescent="0.25"/>
    <row r="170" ht="28.9" customHeight="1" x14ac:dyDescent="0.25"/>
    <row r="171" ht="28.9" customHeight="1" x14ac:dyDescent="0.25"/>
    <row r="172" ht="28.9" customHeight="1" x14ac:dyDescent="0.25"/>
    <row r="173" ht="28.9" customHeight="1" x14ac:dyDescent="0.25"/>
    <row r="174" ht="28.9" customHeight="1" x14ac:dyDescent="0.25"/>
    <row r="175" ht="28.9" customHeight="1" x14ac:dyDescent="0.25"/>
    <row r="176" ht="28.9" customHeight="1" x14ac:dyDescent="0.25"/>
    <row r="177" ht="28.9" customHeight="1" x14ac:dyDescent="0.25"/>
    <row r="178" ht="28.9" customHeight="1" x14ac:dyDescent="0.25"/>
    <row r="179" ht="28.9" customHeight="1" x14ac:dyDescent="0.25"/>
    <row r="180" ht="28.9" customHeight="1" x14ac:dyDescent="0.25"/>
    <row r="181" ht="28.9" customHeight="1" x14ac:dyDescent="0.25"/>
    <row r="182" ht="28.9" customHeight="1" x14ac:dyDescent="0.25"/>
    <row r="183" ht="28.9" customHeight="1" x14ac:dyDescent="0.25"/>
    <row r="184" ht="28.9" customHeight="1" x14ac:dyDescent="0.25"/>
    <row r="185" ht="28.9" customHeight="1" x14ac:dyDescent="0.25"/>
    <row r="186" ht="28.9" customHeight="1" x14ac:dyDescent="0.25"/>
    <row r="187" ht="28.9" customHeight="1" x14ac:dyDescent="0.25"/>
    <row r="188" ht="28.9" customHeight="1" x14ac:dyDescent="0.25"/>
    <row r="189" ht="28.9" customHeight="1" x14ac:dyDescent="0.25"/>
    <row r="190" ht="28.9" customHeight="1" x14ac:dyDescent="0.25"/>
    <row r="191" ht="28.9" customHeight="1" x14ac:dyDescent="0.25"/>
    <row r="192" ht="28.9" customHeight="1" x14ac:dyDescent="0.25"/>
    <row r="193" ht="28.9" customHeight="1" x14ac:dyDescent="0.25"/>
    <row r="194" ht="28.9" customHeight="1" x14ac:dyDescent="0.25"/>
    <row r="195" ht="28.9" customHeight="1" x14ac:dyDescent="0.25"/>
    <row r="196" ht="28.9" customHeight="1" x14ac:dyDescent="0.25"/>
    <row r="197" ht="28.9" customHeight="1" x14ac:dyDescent="0.25"/>
    <row r="198" ht="28.9" customHeight="1" x14ac:dyDescent="0.25"/>
  </sheetData>
  <mergeCells count="19">
    <mergeCell ref="C15:C18"/>
    <mergeCell ref="C19:C20"/>
    <mergeCell ref="B15:B20"/>
    <mergeCell ref="B2:F2"/>
    <mergeCell ref="B59:B61"/>
    <mergeCell ref="C25:C28"/>
    <mergeCell ref="C29:C31"/>
    <mergeCell ref="C32:C41"/>
    <mergeCell ref="C42:C44"/>
    <mergeCell ref="C45:C48"/>
    <mergeCell ref="C49:C51"/>
    <mergeCell ref="C52:C55"/>
    <mergeCell ref="C56:C58"/>
    <mergeCell ref="C59:C61"/>
    <mergeCell ref="B21:B24"/>
    <mergeCell ref="C21:C24"/>
    <mergeCell ref="B25:B41"/>
    <mergeCell ref="B42:B51"/>
    <mergeCell ref="B52:B58"/>
  </mergeCells>
  <phoneticPr fontId="10" type="noConversion"/>
  <dataValidations count="1">
    <dataValidation type="list" allowBlank="1" showInputMessage="1" showErrorMessage="1" sqref="E15:E61" xr:uid="{DDBFF9BC-A376-44E4-9EF0-101A8F72CB94}">
      <formula1>"Yes,No"</formula1>
    </dataValidation>
  </dataValidations>
  <hyperlinks>
    <hyperlink ref="B7" r:id="rId1" xr:uid="{2DAE8FBC-870E-43B9-87D4-A7224EE729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DRM Diagnostic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VDB</dc:creator>
  <cp:keywords/>
  <dc:description/>
  <cp:lastModifiedBy>Laurent Corroyer</cp:lastModifiedBy>
  <cp:revision/>
  <dcterms:created xsi:type="dcterms:W3CDTF">2025-11-03T15:08:11Z</dcterms:created>
  <dcterms:modified xsi:type="dcterms:W3CDTF">2026-05-28T17:12:40Z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2025-11-03T15:41:25Z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62d7a113-bfc2-40be-a25f-7fd6196ccc61</vt:lpwstr>
  </property>
  <property fmtid="{D5CDD505-2E9C-101B-9397-08002B2CF9AE}" pid="8" name="MSIP_Label_f1bf45b6-5649-4236-82a3-f45024cd282e_ContentBits">
    <vt:lpwstr>2</vt:lpwstr>
  </property>
  <property fmtid="{D5CDD505-2E9C-101B-9397-08002B2CF9AE}" pid="9" name="MSIP_Label_f1bf45b6-5649-4236-82a3-f45024cd282e_Tag">
    <vt:lpwstr>10, 3, 0, 2</vt:lpwstr>
  </property>
</Properties>
</file>