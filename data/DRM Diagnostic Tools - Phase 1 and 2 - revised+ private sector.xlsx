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285c928949515c18/Documents/WB/Assessing DRM policies/Version Mgmt June 2026/FW_ DRM Governance and Policy Roadmap Tool - sharing for information_feedback/"/>
    </mc:Choice>
  </mc:AlternateContent>
  <xr:revisionPtr revIDLastSave="0" documentId="8_{529227C3-9D57-405A-AD2F-7C90283BD55C}" xr6:coauthVersionLast="47" xr6:coauthVersionMax="47" xr10:uidLastSave="{00000000-0000-0000-0000-000000000000}"/>
  <bookViews>
    <workbookView xWindow="-110" yWindow="-110" windowWidth="19420" windowHeight="10300" activeTab="1" xr2:uid="{00000000-000D-0000-FFFF-FFFF00000000}"/>
  </bookViews>
  <sheets>
    <sheet name="Questionnaire Phase 1" sheetId="3" r:id="rId1"/>
    <sheet name="Questionnaire Phase 2"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5" l="1"/>
  <c r="J15" i="5"/>
  <c r="K15" i="5" s="1"/>
  <c r="I16" i="5"/>
  <c r="J16" i="5"/>
  <c r="K16" i="5" s="1"/>
  <c r="I17" i="5"/>
  <c r="J17" i="5" s="1"/>
  <c r="K17" i="5" s="1"/>
  <c r="I18" i="5" l="1"/>
  <c r="I19" i="5" l="1"/>
  <c r="J18" i="5"/>
  <c r="K18" i="5" s="1"/>
  <c r="I20" i="5" l="1"/>
  <c r="J19" i="5"/>
  <c r="K19" i="5" s="1"/>
  <c r="J20" i="5" l="1"/>
  <c r="K20" i="5" s="1"/>
  <c r="I21" i="5"/>
  <c r="J21" i="5" l="1"/>
  <c r="K21" i="5" s="1"/>
  <c r="I22" i="5"/>
  <c r="J22" i="5" l="1"/>
  <c r="K22" i="5" s="1"/>
  <c r="I23" i="5"/>
  <c r="J23" i="5" l="1"/>
  <c r="K23" i="5" s="1"/>
  <c r="I24" i="5"/>
  <c r="J24" i="5" l="1"/>
  <c r="K24" i="5" s="1"/>
  <c r="I25" i="5"/>
  <c r="J25" i="5" l="1"/>
  <c r="K25" i="5" s="1"/>
  <c r="I26" i="5"/>
  <c r="J26" i="5" l="1"/>
  <c r="K26" i="5" s="1"/>
  <c r="I27" i="5"/>
  <c r="J27" i="5" l="1"/>
  <c r="K27" i="5" s="1"/>
  <c r="I28" i="5"/>
  <c r="I29" i="5" l="1"/>
  <c r="J28" i="5"/>
  <c r="K28" i="5" s="1"/>
  <c r="J29" i="5" l="1"/>
  <c r="K29" i="5" s="1"/>
  <c r="I30" i="5"/>
  <c r="J30" i="5" l="1"/>
  <c r="K30" i="5" s="1"/>
  <c r="I31" i="5"/>
  <c r="J31" i="5" l="1"/>
  <c r="K31" i="5" s="1"/>
  <c r="I32" i="5"/>
  <c r="J32" i="5" l="1"/>
  <c r="K32" i="5" s="1"/>
  <c r="I33" i="5"/>
  <c r="I34" i="5" l="1"/>
  <c r="J33" i="5"/>
  <c r="K33" i="5" s="1"/>
  <c r="J34" i="5" l="1"/>
  <c r="K34" i="5" s="1"/>
  <c r="I35" i="5"/>
  <c r="J35" i="5" l="1"/>
  <c r="K35" i="5" s="1"/>
  <c r="I36" i="5"/>
  <c r="J36" i="5" l="1"/>
  <c r="K36" i="5" s="1"/>
  <c r="I37" i="5"/>
  <c r="I38" i="5" l="1"/>
  <c r="J37" i="5"/>
  <c r="K37" i="5" s="1"/>
  <c r="J38" i="5" l="1"/>
  <c r="K38" i="5" s="1"/>
  <c r="I39" i="5"/>
  <c r="J39" i="5" l="1"/>
  <c r="K39" i="5" s="1"/>
  <c r="I40" i="5"/>
  <c r="J40" i="5" l="1"/>
  <c r="K40" i="5" s="1"/>
  <c r="I41" i="5"/>
  <c r="J41" i="5" l="1"/>
  <c r="K41" i="5" s="1"/>
  <c r="I42" i="5"/>
  <c r="I43" i="5" l="1"/>
  <c r="J42" i="5"/>
  <c r="K42" i="5" s="1"/>
  <c r="J43" i="5" l="1"/>
  <c r="K43" i="5" s="1"/>
  <c r="I44" i="5"/>
  <c r="J44" i="5" l="1"/>
  <c r="K44" i="5" s="1"/>
  <c r="I45" i="5"/>
  <c r="J45" i="5" l="1"/>
  <c r="K45" i="5" s="1"/>
  <c r="I46" i="5"/>
  <c r="J46" i="5" l="1"/>
  <c r="K46" i="5" s="1"/>
  <c r="I47" i="5"/>
  <c r="I48" i="5" l="1"/>
  <c r="J47" i="5"/>
  <c r="K47" i="5" s="1"/>
  <c r="J48" i="5" l="1"/>
  <c r="K48" i="5" s="1"/>
  <c r="I49" i="5"/>
  <c r="J49" i="5" l="1"/>
  <c r="K49" i="5" s="1"/>
  <c r="I50" i="5"/>
  <c r="J50" i="5" l="1"/>
  <c r="K50" i="5" s="1"/>
  <c r="I51" i="5"/>
  <c r="J51" i="5" l="1"/>
  <c r="K51" i="5" s="1"/>
  <c r="I52" i="5"/>
  <c r="J52" i="5" l="1"/>
  <c r="K52" i="5" s="1"/>
  <c r="I53" i="5"/>
  <c r="J53" i="5" l="1"/>
  <c r="K53" i="5" s="1"/>
  <c r="I54" i="5"/>
  <c r="J54" i="5" l="1"/>
  <c r="K54" i="5" s="1"/>
  <c r="I55" i="5"/>
  <c r="J55" i="5" l="1"/>
  <c r="K55" i="5" s="1"/>
  <c r="I56" i="5"/>
  <c r="I57" i="5" l="1"/>
  <c r="J56" i="5"/>
  <c r="K56" i="5" s="1"/>
  <c r="J57" i="5" l="1"/>
  <c r="K57" i="5" s="1"/>
  <c r="I58" i="5"/>
  <c r="J58" i="5" l="1"/>
  <c r="K58" i="5" s="1"/>
  <c r="I59" i="5"/>
  <c r="J59" i="5" l="1"/>
  <c r="K59" i="5" s="1"/>
  <c r="I60" i="5"/>
  <c r="J60" i="5" s="1"/>
  <c r="K60" i="5" s="1"/>
</calcChain>
</file>

<file path=xl/sharedStrings.xml><?xml version="1.0" encoding="utf-8"?>
<sst xmlns="http://schemas.openxmlformats.org/spreadsheetml/2006/main" count="269" uniqueCount="248">
  <si>
    <t>DRM Pillar</t>
  </si>
  <si>
    <t>Thematic Area</t>
  </si>
  <si>
    <t>Phase 1 Open Questions</t>
  </si>
  <si>
    <t>Nascent</t>
  </si>
  <si>
    <t>Emerging</t>
  </si>
  <si>
    <t>Established</t>
  </si>
  <si>
    <t>Advanced</t>
  </si>
  <si>
    <t>Comments and Assessment</t>
  </si>
  <si>
    <t>1. Legal and Institutional DRM Framework</t>
  </si>
  <si>
    <t>1.1. DRM policies and institutions</t>
  </si>
  <si>
    <t>What national DRM/DRR laws exist, and do they define institutional mandates and responsibilities (including multisectoral participation, decentralization, public and private responsibilities)?</t>
  </si>
  <si>
    <t>Initial legal framework drafted</t>
  </si>
  <si>
    <t>DRM law adopted with an integrated approach, for example with reference to multi-sectoral and multi-level governance and clear subnational roles</t>
  </si>
  <si>
    <r>
      <t xml:space="preserve">Law operationalized through cascading regulations, implementing decrees, </t>
    </r>
    <r>
      <rPr>
        <sz val="10"/>
        <rFont val="Arial"/>
        <family val="2"/>
      </rPr>
      <t>and guidelines that define institutional mandates, staffed and funded agencies, and formalized cross-sector coordination mechanisms</t>
    </r>
    <r>
      <rPr>
        <sz val="10"/>
        <rFont val="Arial"/>
        <family val="2"/>
      </rPr>
      <t>.</t>
    </r>
  </si>
  <si>
    <t>Evidence of strong implementation and clear responsibilities across government sectors, levels and DRM pillars; Evidence of dedicated and significant funding allocated to the institution responsible for coordinating or leading DRM activities in recent years</t>
  </si>
  <si>
    <t>What national DRM/DRR strategy or policy documents are in place and how are they being implemented, financed and/or monitored?</t>
  </si>
  <si>
    <t>Basic or limited policy or strategy documents drafted</t>
  </si>
  <si>
    <t>DRM Strategy adopted including a multisectoral approach including national and subnational actions</t>
  </si>
  <si>
    <t xml:space="preserve">DRR/DRM Strategy implemented and budgeted across sectors with clear institutional roles, linked to development goals </t>
  </si>
  <si>
    <t>DRM/DRR Strategy implementation monitored, reviewed and updated regularly</t>
  </si>
  <si>
    <t>What climate change adaptation policies, plans and/or initiatives exist (e.g., climate change law, National Adaptation Plans)? How do they relate to DRM policy documents? How are they financed and/or monitored?</t>
  </si>
  <si>
    <t xml:space="preserve">Climate policy/strategy / plan drafted  </t>
  </si>
  <si>
    <t>Climate policy/strategy adopted - including a multisectoral approach at all administrative levels</t>
  </si>
  <si>
    <t>Climate policy/strategy implemented and budgeted with clear institutional roles, linked to development goals</t>
  </si>
  <si>
    <t>Climate-DRM integration institutionalized reviewed and updated regularly</t>
  </si>
  <si>
    <t>1.2. Mainstreaming DRM into national and sectoral development plans</t>
  </si>
  <si>
    <t>How is DRM incorporated into the country’s National Development Plan or equivalent strategy, goals, indicators, programs, projects, and/or budget?</t>
  </si>
  <si>
    <t>Occasional and/or ad-hoc reference</t>
  </si>
  <si>
    <t>DRM and climate risk explicitly mentioned and integrated DRM interventions proposed as a dedicated or cross-cutting topic of the National Development Plan</t>
  </si>
  <si>
    <t>Clear responsibilities, budget allocation, targets and results indicators relating to DRM</t>
  </si>
  <si>
    <t>Risk data drives investment and policy decisions</t>
  </si>
  <si>
    <t>Are DRM considerations integrated to strategic planning documents produced by key sectors (e.g. Ministry of Health Strategic Plan, National Education Strategy/Policy, Tourism Policy, National Water and Sanitation Master Plan, Transport Infrastructure Development Plan...). Is this integration coordinated at the central level?</t>
  </si>
  <si>
    <r>
      <t>Limited incorporation and</t>
    </r>
    <r>
      <rPr>
        <sz val="10"/>
        <rFont val="Arial"/>
        <family val="2"/>
      </rPr>
      <t xml:space="preserve"> Ad-hoc coordination and communication across sectors</t>
    </r>
  </si>
  <si>
    <t>Sectoral plans clearly incorporate DRM considerations. Established working groups and/or coordination mechanisms. When this criteria is met, list sectors/ministries that have officially adopted DRM targets and indicators in their most recent strategic planning documents</t>
  </si>
  <si>
    <t>Clear responsibility with a coordinating entity, guided by norms or other standards; risk decisions incorporated into  investment cycle and financing decisions</t>
  </si>
  <si>
    <t>Holistic cross-referencing of DRM objectives and targets across sectoral development processes. Benchmarking indicators track implementation</t>
  </si>
  <si>
    <t>2. Risk Identification</t>
  </si>
  <si>
    <t xml:space="preserve">What systems or databases are in place to record historical disaster impacts, or manage disaster and climate risk information? Are risk assessment roles, capacities and responsibilities clear? </t>
  </si>
  <si>
    <t>Basic hazard maps developed</t>
  </si>
  <si>
    <t>Risk data integrated into planning; public access platforms developed</t>
  </si>
  <si>
    <t>Multi-hazard risk assessments conducted; data platforms operational</t>
  </si>
  <si>
    <t>Real-time risk data systems; predictive analytics used in planning</t>
  </si>
  <si>
    <t>What national / local risk assessments or disaster risk profiles exist? To what extent do they account for the potential impacts of climate change?</t>
  </si>
  <si>
    <t>Initial risk assessments (perhaps single hazard) conducted</t>
  </si>
  <si>
    <t>Muti-hazard probabilistic assessments conducted</t>
  </si>
  <si>
    <t>Institutionalized risk modeling</t>
  </si>
  <si>
    <t>Dynamic and updated disaster risk information system in place incorporating climate scenarios</t>
  </si>
  <si>
    <t>How is existing hazard and risk information—such as hazard maps and vulnerability data— made accessible to government entities and citizens ?</t>
  </si>
  <si>
    <t>No public data</t>
  </si>
  <si>
    <t xml:space="preserve">Partial availability </t>
  </si>
  <si>
    <t>Maintained open data platform with formal exchange mechanism between technical entities in charge of hazard/risk assessments and government entities that use this information? (e.g., evidenced through Memorandums of Understanding or cooperation agreements)</t>
  </si>
  <si>
    <t>Full open access and use of data to identify or anticipate societal needs and inform policy design</t>
  </si>
  <si>
    <t>How is the acquisition, use and sharing of accurate data and other information, including sex-and-age disaggregated data (SADD) and data for vulnerable groups, being shared and disseminated?*</t>
  </si>
  <si>
    <t>Data collection is ad‑hoc, fragmented across ministries; no standardized national SADD or vulnerability indicators; limited dissemination, no central repository.</t>
  </si>
  <si>
    <t xml:space="preserve">Basic SADD collected for some sectors; limited cross‑ministry sharing; early efforts to harmonize tools </t>
  </si>
  <si>
    <t>SADD &amp; vulnerability data systematically collected and used; national standards applied across sectors; centralized repository operational; routine sharing protocols established.</t>
  </si>
  <si>
    <t>Integrated multi‑sector risk information system operational; real‑time SADD + vulnerability dashboards; open‑data access; analytics used to inform planning.</t>
  </si>
  <si>
    <t>3. Risk Reduction</t>
  </si>
  <si>
    <t>3.1. Territorial and urban planning</t>
  </si>
  <si>
    <t>How are DRM considerations integrated into land-use planning and urban development regulations and implementation?</t>
  </si>
  <si>
    <t>Risk considerations minimally reflected in land use laws/policies, zoning, or urban plans; limited awareness of disaster/climate risks in planning processes</t>
  </si>
  <si>
    <t>Risk-informed land use and zoning plans drafted or piloted in select areas; some resettlement or urban plans integrate basic risk information</t>
  </si>
  <si>
    <t>Risk-informed land use, zoning, and urban plans adopted at national/subnational levels; updates and enforcement mechanisms in place. Official methodologies to guide the development of risk-informed territorial, spatial, land use or urban planning instruments are available.</t>
  </si>
  <si>
    <t xml:space="preserve">Multi-hazard risk-informed territorial and urban planning institutionalized  with e.g., more than 50% of urban plans approved in the last 4 years including risk considerations; plans reviewed, updated, and integrated with climate adaptation </t>
  </si>
  <si>
    <t>What requirements exist for integrating disaster and climate risk analysis into public investment planning and Public-Private Partnerships?</t>
  </si>
  <si>
    <t>Disaster/climate risk considerations are not systematically included in the National Public Investment System (NPIS); ad hoc project screening</t>
  </si>
  <si>
    <r>
      <t>NPIS official</t>
    </r>
    <r>
      <rPr>
        <sz val="10"/>
        <rFont val="Arial"/>
        <family val="2"/>
      </rPr>
      <t xml:space="preserve"> guidelines are updated to include risk screening for major public investments; some projects are assessed for disaster/climate risks</t>
    </r>
  </si>
  <si>
    <t>Systematic screening and environmental impact assessments considering climate and disaster risks are mandatory and legally binding</t>
  </si>
  <si>
    <t xml:space="preserve">Risk-informed investment is  institutionalized; NPIS integrates risk analytics, cost-benefit analysis, risk sharing with private sector </t>
  </si>
  <si>
    <t>Are there incentives for the private sector, including tourism, retail and property, to invest in disaster-resilient infrastructure or business continuity planning ?**</t>
  </si>
  <si>
    <t>No private‑sector DRM/CCA incentives; minimal awareness; no formal partnerships.</t>
  </si>
  <si>
    <t>Initial outreach, pilots, or sector consultations; some incentives (e.g., voluntary resilience measures in selected sectors).</t>
  </si>
  <si>
    <t>Structured private‑sector engagement; incentives such as tax measures, co‑financing, or technical assistance; business continuity planning promoted.</t>
  </si>
  <si>
    <t>Robust enabling environment; regulated resilience standards; climate‑smart certification; access to financing instruments; strong public‑private partnerships.</t>
  </si>
  <si>
    <t>3.3. Sector-specific risk reduction measures</t>
  </si>
  <si>
    <t>Are there sector-specific resilient, green and inclusive standards in place for disaster-informed design, construction and maintenance of infrastructure? Focus the assessment on the following sectors: transport (roads), education (schools), health (hospitals) and energy infrastructure</t>
  </si>
  <si>
    <t>Initial risk assessments conducted to assess sector priorities</t>
  </si>
  <si>
    <r>
      <t xml:space="preserve">Prioritization of </t>
    </r>
    <r>
      <rPr>
        <sz val="10"/>
        <rFont val="Arial"/>
        <family val="2"/>
      </rPr>
      <t xml:space="preserve">risk reduction investments, based on </t>
    </r>
    <r>
      <rPr>
        <sz val="10"/>
        <rFont val="Arial"/>
        <family val="2"/>
      </rPr>
      <t>quantified</t>
    </r>
    <r>
      <rPr>
        <sz val="10"/>
        <rFont val="Arial"/>
        <family val="2"/>
      </rPr>
      <t xml:space="preserve"> risk information</t>
    </r>
  </si>
  <si>
    <t>Evidence of systematic application of criteria for prioritization of risk reduction investments.</t>
  </si>
  <si>
    <r>
      <t>Sectoral risk reduction institutionalized with evidence of public funding for retrofitting activities that follow vulnerability assessments and resilient design standards in the past 4 years</t>
    </r>
    <r>
      <rPr>
        <sz val="10"/>
        <rFont val="Arial"/>
        <family val="2"/>
      </rPr>
      <t>; plans updated, integrated with national strategies, and supported by dedicated budgets and capacity-building. Benchmarking indicators track implementation</t>
    </r>
  </si>
  <si>
    <t>What building regulations exist and how are they enforced? Do these regulations require earthquake-resistant or other hazard-resistant (e.g., wind, flood) design for buildings?</t>
  </si>
  <si>
    <t>Limited, outdated or incomplete regulations (resilience, green or universal access)</t>
  </si>
  <si>
    <t xml:space="preserve">Some regulations address disaster risks but do not incorporate critical hazards or set minimum standards </t>
  </si>
  <si>
    <t xml:space="preserve">Regulations tailored to country context and evidence of enforcement; capacity or efficiency limitations </t>
  </si>
  <si>
    <t>Efficient and transparent building control processes in
place. Certification and/or other standards for public and private actors</t>
  </si>
  <si>
    <t>How does the policy and institutional framework for water resource management and/or water supply and sanitation contribute to managing water-related risks (i.e., floods and droughts)?</t>
  </si>
  <si>
    <t>Limited reference to drought / flood risks in water resource management and/or water supply and sanitation policies</t>
  </si>
  <si>
    <t>A water governance framework that includes a coordination mechanism gathering the main actors in charge of Integrated Water Resources Management (e.g., water, agriculture, urban planning, energy) is tasked with flood-drough risk management (among others).</t>
  </si>
  <si>
    <t>The legal framework for water supply and sanitation in urban areas takes flood risk into account</t>
  </si>
  <si>
    <t>Integrated flood and drought risk management capacity has translated into concrete improvements in water management (e.g. flood protection infrastructure, soil infiltration capacity…) at the watershed  level</t>
  </si>
  <si>
    <t>4. Preparedness</t>
  </si>
  <si>
    <t>4.1. Early Warning Systems (EWS)</t>
  </si>
  <si>
    <t>What capabilities do the national meteorological or hydrometeorological service have for forecasting hazards, and how are forecasts disseminated?</t>
  </si>
  <si>
    <t>Limited coverage</t>
  </si>
  <si>
    <t>EWS operational in key regions</t>
  </si>
  <si>
    <t>Nationwide EWS coverage</t>
  </si>
  <si>
    <t>EWS designed to reach all at risk communities with consistent budget allocation for the expansion, maintenance, and operation of the geophysical and/or hydrometeorological network in recent years</t>
  </si>
  <si>
    <t>Are early warning systems inclusive, considering the characteristics of populations at risk in how warnings are delivered and perceived?***</t>
  </si>
  <si>
    <r>
      <t>Population promptly alerted through massive channels (e.g., via SMS) but</t>
    </r>
    <r>
      <rPr>
        <sz val="10"/>
        <rFont val="Arial"/>
        <family val="2"/>
      </rPr>
      <t xml:space="preserve"> limited consideration of accessibility, gender, or disability; warnings not tailored.</t>
    </r>
  </si>
  <si>
    <t>Some targeted communication for at‑risk groups (e.g., outer islands in the case of SIDS, women’s groups, persons with disabilities); limited multilingual or multi‑modal messaging.</t>
  </si>
  <si>
    <t>Inclusive EWS is reflected in SOPs; systematic outreach to vulnerable groups; multiple accessible communication channels operational.</t>
  </si>
  <si>
    <t>Institutionalized inclusive EWS based on human‑centered design; nationwide redundancy; continual community feedback loops; anticipation messaging customized for diverse groups.</t>
  </si>
  <si>
    <t>4.2. Emergency Preparedness and Response (EP&amp;R)</t>
  </si>
  <si>
    <t>What is the country’s institutional structure for emergency management, and how is coordination at the sectoral and territorial levels achieved?</t>
  </si>
  <si>
    <t>Limited contingency plans; Institutional arrangements absent/limited; Emergency operation centers, equipment, and protocols lacking</t>
  </si>
  <si>
    <r>
      <t xml:space="preserve">The national contingency plan or some </t>
    </r>
    <r>
      <rPr>
        <sz val="10"/>
        <rFont val="Arial"/>
        <family val="2"/>
      </rPr>
      <t xml:space="preserve"> response plans for emergencies in place; Institutional arrangements exist </t>
    </r>
  </si>
  <si>
    <t>Multi-level coordination in place, with at least 50% of subnational EP&amp;R entities (e.g., Local Emergency Management Committee) have an approved contingency plan or emergency response protocol.</t>
  </si>
  <si>
    <t>Preparedness integrated into national systems;</t>
  </si>
  <si>
    <t>Last‑mile connectivity unreliable or non-existent; limited marine/air assets; outer island warnings inconsistent.</t>
  </si>
  <si>
    <t>Partial last‑mile coverage (eg HF radio), satellite messengers, irregular community networks; intermittent transport capacity.</t>
  </si>
  <si>
    <t>Defined last‑mile protocols in SOPs; redundancy in communication channels; logistics routes prioritized; community disaster committees active.</t>
  </si>
  <si>
    <t>Fully integrated early warning + logistics chain; real‑time tracking of supplies and vessels; resilient ICT; pre‑positioned stock; anticipatory logistics triggers operational.</t>
  </si>
  <si>
    <t>Shelters and public spaces: Do emergency facilities provide safe and gender-segregated spaces, addressing the specific needs and safety concerns of women, girls, men, and boys?</t>
  </si>
  <si>
    <t>No gender considerations in shelter design; no separate spaces; limited awareness.</t>
  </si>
  <si>
    <t>Some shelters have informal gender separation; limited gender-based violence (GBV) risk‑mitigation practices; awareness increasing.</t>
  </si>
  <si>
    <t>Gender‑segregated spaces and WASH facilities included in shelter SOPs; shelter managers trained; linkages to protection actors formalized.</t>
  </si>
  <si>
    <t>Comprehensive inclusive shelter standards; universal accessibility; GBV referral mechanisms embedded; periodic audits; community‑led safety committees.</t>
  </si>
  <si>
    <t>4.3. Adaptive Social Protection (ASP)</t>
  </si>
  <si>
    <t>How are social protection programs designed to adapt or scale in response to shocks?</t>
  </si>
  <si>
    <t>Ad-hoc institutional arrangements; roles and responsibilities unclear or unassigned.Financing is ad hoc</t>
  </si>
  <si>
    <t>Pilot programs launched. Financing strategies under development, Program flexibility for temporary expansion during crises</t>
  </si>
  <si>
    <t>National strategy/program or similar in place. Financing mechanisms exist.Delivery systems are efficient and transparent</t>
  </si>
  <si>
    <t>Adaptive SP mechanisms linked to pre-arranged financing.  Programs have anticipatory actions.</t>
  </si>
  <si>
    <t>How does the social registry capture exposure and vulnerability data relevant to disaster and climate shocks?</t>
  </si>
  <si>
    <t>Limited coverage and/or data systems are rudimentary or limited to single programs.</t>
  </si>
  <si>
    <t>Some efforts to integrate exposure and/or vulnerability. Data systems developed toward digital registries/beneficiaries in hazard prone areas</t>
  </si>
  <si>
    <t>Consideration of exposure and vulnerability. Integration of early warning systems and triggers for program expansion. Robust, interoperable data systems</t>
  </si>
  <si>
    <t>Dataset linked to DRM strategies. Data systems enable real-time monitoring, predictive analytics, and targeted interventions.</t>
  </si>
  <si>
    <t>Are there financial preparedness plans that provide resources such as direct cash transfers, emergency funds, and food security programs, and do these plans address gender disparities?</t>
  </si>
  <si>
    <t>No pre‑arranged financing; no cash‑based response; gender disparities unaddressed.</t>
  </si>
  <si>
    <t>Initial cash transfer pilots or ad‑hoc assistance during crises; some food security programs; limited integration into DRM financing.</t>
  </si>
  <si>
    <t>Pre‑arranged financing (contingency funds, insurance, scalable SP) activated with triggers; gender‑responsive targeting; food security programs integrated into preparedness.</t>
  </si>
  <si>
    <t>Fully developed adaptive social protection system; shock‑responsive cash transfers; gender‑disaggregated beneficiary systems; automated triggers; pre‑positioned financing.</t>
  </si>
  <si>
    <t>5. Financial Protection</t>
  </si>
  <si>
    <t>5.1. Fiscal risk management</t>
  </si>
  <si>
    <t>What structures or units exist within the Ministry of Finance to manage fiscal risks from disasters? How has the government assessed its fiscal exposure to disaster risks, including contingent liabilities?</t>
  </si>
  <si>
    <t>No context of contingent liabilities</t>
  </si>
  <si>
    <t>Information gathered on contingent liabilities</t>
  </si>
  <si>
    <t>Risk assessment conducted to quantify and assess contingent liabilities</t>
  </si>
  <si>
    <t>Potential
impacts are routinely assessed and
quantified, and updated</t>
  </si>
  <si>
    <t>How is disaster risk reflected in fiscal policy documents such as the medium-term fiscal framework or fiscal risk statement?</t>
  </si>
  <si>
    <t>No reference to disaster risk</t>
  </si>
  <si>
    <t>Some references but ad-hoc</t>
  </si>
  <si>
    <t xml:space="preserve">Regular annex/reference with quantitative assessment (probabilistic modeling) of potential disaster losses </t>
  </si>
  <si>
    <t>Dynamic analysis and/or specialized studies on climate scenarios</t>
  </si>
  <si>
    <t>How does the government track DRM and/or climate-related expenditures, including through budget tagging systems?</t>
  </si>
  <si>
    <t>Budget lines proposed</t>
  </si>
  <si>
    <t>Budget tagging initiated</t>
  </si>
  <si>
    <t>Tagging operational across sectors</t>
  </si>
  <si>
    <t>Tagging institutionalized in fiscal systems</t>
  </si>
  <si>
    <t>5.2. Disaster Risk Financing (DRF) strategies and instruments</t>
  </si>
  <si>
    <t>What sovereign risk financing instruments are available to manage disaster impacts, and how are they structured?</t>
  </si>
  <si>
    <t>No financial instruments in place</t>
  </si>
  <si>
    <t>Limited financial instruments in place</t>
  </si>
  <si>
    <t>A limited mix of contingency</t>
  </si>
  <si>
    <r>
      <t>A combination of DRF instruments in place with a Risk layering strategy institutionalized and</t>
    </r>
    <r>
      <rPr>
        <sz val="10"/>
        <rFont val="Arial"/>
        <family val="2"/>
      </rPr>
      <t xml:space="preserve"> </t>
    </r>
    <r>
      <rPr>
        <sz val="10"/>
        <rFont val="Arial"/>
        <family val="2"/>
      </rPr>
      <t>evidence of an increasing trend of $ amount of financing that can be mobilized through sovereign risk financing instruments.</t>
    </r>
  </si>
  <si>
    <t>How is the country’s emergency fund structured, and how effectively can it channel resources during disasters?
Are there regulations that define standards for catastrophe insurance coverage of public or private assets?</t>
  </si>
  <si>
    <t>Contingency fund proposed
No regulations defining cat insurance standards</t>
  </si>
  <si>
    <t>Fund operational
Basic cat insurance regulation exist</t>
  </si>
  <si>
    <t>Fund integrated into fiscal planning
Cat insurance standards enhanced with incentives for the development of innovative products</t>
  </si>
  <si>
    <t>Fund established with annual budget allocations
Cat insurance penetration has increased and innovative cat insurance products are being deployed</t>
  </si>
  <si>
    <t>6. Resilient Reconstruction</t>
  </si>
  <si>
    <t>6.1 Building Back Better principles</t>
  </si>
  <si>
    <t xml:space="preserve">How do reconstruction plans and programs incorporate &amp; finance principles of "building back better", including resilience and risk reduction? </t>
  </si>
  <si>
    <t>Principles discussed</t>
  </si>
  <si>
    <t>Guidelines drafted</t>
  </si>
  <si>
    <t>Principles applied in select projects</t>
  </si>
  <si>
    <t>Recovery financing mechanisms institutionalized, with zoning, land use or territorial planning instrument in the affected areas been reviewed with the objective of reducing risk</t>
  </si>
  <si>
    <t>6.2. Post-disaster needs assessment tools</t>
  </si>
  <si>
    <t>What guidelines and/or policies are used to conduct post-disaster damage and needs assessments?</t>
  </si>
  <si>
    <t>Limited post-disaster assessment capacity</t>
  </si>
  <si>
    <t>tools piloted</t>
  </si>
  <si>
    <t>Methodology adopted</t>
  </si>
  <si>
    <t>Methodology routinely guides reconstruction</t>
  </si>
  <si>
    <t>6.3. Recovery framework</t>
  </si>
  <si>
    <t>What frameworks exist for post-disaster recovery and reconstruction, and how are they activated after disasters?</t>
  </si>
  <si>
    <t>Recovery framework proposed</t>
  </si>
  <si>
    <t>Recovery framework adopted</t>
  </si>
  <si>
    <t>Recovery planning institutionalized</t>
  </si>
  <si>
    <t>Resilient recovery integrated into DRM cycle</t>
  </si>
  <si>
    <r>
      <rPr>
        <b/>
        <sz val="16"/>
        <color rgb="FFFF0000"/>
        <rFont val="Calibri"/>
        <family val="2"/>
      </rPr>
      <t>Definitions:</t>
    </r>
    <r>
      <rPr>
        <b/>
        <sz val="16"/>
        <color theme="1"/>
        <rFont val="Calibri"/>
        <family val="2"/>
      </rPr>
      <t xml:space="preserve"> (1) Nascent: Initial stage where frameworks, strategies, or plans are drafted or proposed. Institutional coordination is limited, and actions are mostly conceptual or pilot-level. Financial and technical instruments are either absent or in the early stages of development.  (2) Emerging: The stage where frameworks, strategies, or plans are adopted and initial implementation begins. Institutional setups are basic. Financial mechanisms and technical tools begin to be introduced, supporting targeted interventions and actions piloted or operational in select areas. (3) Established: Frameworks, strategies, or plans are implemented across sectors or administrative levels. Institutional arrangements are operational, and actions are monitored and regularly conducted.</t>
    </r>
    <r>
      <rPr>
        <b/>
        <sz val="16"/>
        <color rgb="FF000000"/>
        <rFont val="Segoe UI"/>
        <family val="2"/>
      </rPr>
      <t xml:space="preserve"> </t>
    </r>
    <r>
      <rPr>
        <b/>
        <sz val="16"/>
        <color theme="1"/>
        <rFont val="Calibri"/>
        <family val="2"/>
      </rPr>
      <t>Financial and technical instruments are regularly utilized.  (4) Advanced: Full integration and institutionalization of frameworks, strategies, or plans. Actions are reviewed and updated regularly, with comprehensive coverage and multi-stakeholder engagement. Systems are embedded in national development and fiscal planning. Financial and technical instruments are sophisticated and sustainable.</t>
    </r>
  </si>
  <si>
    <t>*   In Small Island Developing States (SIDS), small and dispersed populations and limited service coverage make it critical to share SADD and vulnerability data across agencies to target last mile support and ensure outer island and at risk groups are not missed during preparedness and response.</t>
  </si>
  <si>
    <t>**  Essential goods and services (food supply, transport, telecommunications, fuel, tourism, small retail) depend heavily on the private sector in many SIDS. Incentives and technical support can be decisive for business continuity and faster recovery when public capacity and fiscal space are constrained.</t>
  </si>
  <si>
    <t xml:space="preserve">*** Lifeline assets in SIDS such as ports, airstrips, power, water, hospitals and telecommunications, serve entire islands, and single‑point failures can isolate communities and halt response, therefore prioritizing and protecting critical infrastructure is vital. </t>
  </si>
  <si>
    <t>Evaluating Disaster Risk Management Policy Frameworks: A Rapid Screening Tool</t>
  </si>
  <si>
    <t>Instructions</t>
  </si>
  <si>
    <t>1. Answer the questions below.</t>
  </si>
  <si>
    <t>2. Go to the following website.</t>
  </si>
  <si>
    <t>https://cat-ddo-drm-diagnostic-dashboard-129737065802.us-central1.run.app/</t>
  </si>
  <si>
    <t>3. Copy and Paste Cell B10 to the website</t>
  </si>
  <si>
    <t xml:space="preserve"> </t>
  </si>
  <si>
    <t>* Essential government entities refer to the main ministry or agency in charge of the followings eight sectors: Agriculture, Education, Housing, Health, Energy, Tourism, Transport, Water and Sanitation.</t>
  </si>
  <si>
    <t>Question</t>
  </si>
  <si>
    <t>Answer 
(Yes / No / Partially / Unknown)</t>
  </si>
  <si>
    <t>Source
(include electronic links to supporting documents when available)</t>
  </si>
  <si>
    <t>Notes / Comments</t>
  </si>
  <si>
    <t>Weight</t>
  </si>
  <si>
    <t>No.</t>
  </si>
  <si>
    <t>Q No.</t>
  </si>
  <si>
    <t>Concatenation</t>
  </si>
  <si>
    <t>Is there a legal framework (e.g., a DRM law or other legally-binding instruments) defining distinct responsibilities for disaster risk reduction and emergency management?</t>
  </si>
  <si>
    <t>Have any implementing decrees or regulations been approved since the adoption of the DRM legal framework? (e.g., rules on the structure or functions of the DRM agency or implementing regulations of the DRM law)</t>
  </si>
  <si>
    <t xml:space="preserve">In the last five years, have DRM policy instruments reflecting progress towards the objective laid out in the DRM legal framework been officially approved/updated? (e.g., DRM strategies or policies) </t>
  </si>
  <si>
    <t xml:space="preserve">Did the institution responsible for coordinating or leading DRM activities receive dedicated and significant funding for these functions in the last fiscal year? </t>
  </si>
  <si>
    <t>Does the National Development Strategy (or equivalent national planning instrument) contain objectives, targets or indicators related to DRM / DRR?</t>
  </si>
  <si>
    <t>Have at least 4 essential government entities* included explicit DRM/ DRR targets and indicators in their most recent strategic planning documents? (e.g., Ministry of Health Strategic Plan, National Education Strategy/Policy, Tourism Policy, National Water and Sanitation Master Plan, Transport Infrastructure Development Plan)</t>
  </si>
  <si>
    <t>Do laws and regulations clearly define institutional responsibilities and mandates for producing, acquiring, and managing geospatial information, including risk information (e.g., hazard information, vulnerability assessments, risk profiles, historical disaster databases)?</t>
  </si>
  <si>
    <t>Is existing hazard and risk information accessible to government entities and citizens (e.g., through open-data platforms, risk atlases)?</t>
  </si>
  <si>
    <t>Is there any formal exchange mechanism between technical entities in charge of hazard/risk assessments and government entities that use this information? (e.g., evidenced through Memorandums of Understanding or cooperation agreements)</t>
  </si>
  <si>
    <t>Do available national risk assessments or disaster risk profiles account for the potential impacts of climate change on hazard intensity and frequency?</t>
  </si>
  <si>
    <t>Do laws and regulations mandate the use of risk information (e.g., hazard maps, risk assessments) to develop territorial, spatial, land use, or urban planning instruments?</t>
  </si>
  <si>
    <t xml:space="preserve">Do official methodologies to guide the development of risk-informed territorial, spatial, land use or urban planning instruments exist? </t>
  </si>
  <si>
    <t>Do guidelines or procedures for managing housing/settlements located in high-risk areas exist?</t>
  </si>
  <si>
    <t>In the past five years, has risk information (e.g., hazard maps, risk assessments) consistently informed the elaboration of territorial, spatial, land use or urban planning instruments? (e.g., more than 50% of urban plans approved include risk considerations)</t>
  </si>
  <si>
    <t>Are approved projects that have been identified as high-risk (or equivalent) through the disaster and climate screening process required to include risk mitigation measures?</t>
  </si>
  <si>
    <t>Are there legally binding standards or technical guidelines for the design and construction of disaster-resilient critical infrastructure in the following sectors: (1) transport (roads)</t>
  </si>
  <si>
    <t xml:space="preserve">(2) education (schools) </t>
  </si>
  <si>
    <t>(3) health (hospitals)</t>
  </si>
  <si>
    <t>(4) energy infrastructure?</t>
  </si>
  <si>
    <t>Is there at least one legally binding building code or standard that requires earthquake-resistant or other hazard-resistant (e.g., wind, flood) design for buildings?</t>
  </si>
  <si>
    <t>In the past five years, has any public project or program been allocated funding for retrofitting activities that follow vulnerability assessments and resilient design standards?</t>
  </si>
  <si>
    <t>Is there a legal framework for water supply and sanitation in urban areas that take flood risk into account?</t>
  </si>
  <si>
    <t>Is there a water governance framework that includes a coordination mechanism gathering the main actors in charge of Integrated Water Resources Management (e.g., water, agriculture, urban planning, energy)?</t>
  </si>
  <si>
    <t>Have any watershed basins undergone improvements in water management in the last five years?</t>
  </si>
  <si>
    <t>Do institutions involved in EWS—data producers, decision-makers, and implementers of preparedness and response—operate under an established, functional coordination mechanism, evidenced by formal arrangements such as Memorandums of Understanding or regular coordination platform meetings?</t>
  </si>
  <si>
    <t xml:space="preserve">Over the most recent major disaster, was the population promptly alerted (e.g., via SMS or other tailored communication channels)? </t>
  </si>
  <si>
    <t>In the past five years, has there been a consistent budget allocation for the expansion, maintenance, and operation of the geophysical and/or hydrometeorological network?</t>
  </si>
  <si>
    <t xml:space="preserve">Is there a legal framework for EP&amp;R clearly defining the roles and responsibilities of institutions involved in disaster management? </t>
  </si>
  <si>
    <t>Is there a national contingency plan or national emergency plan with a clear distribution of roles and responsibilities among involved actors in emergency management?</t>
  </si>
  <si>
    <t>Do at least 50% of subnational EP&amp;R entities (e.g., Local Emergency Management Committee) have an approved contingency plan or emergency response protocol?</t>
  </si>
  <si>
    <t xml:space="preserve">Do emergency preparedness plans incorporate gender-sensitive measures, such as gender-based violence prevention, safe shelters, and women's specific needs during evacuation and displacement? </t>
  </si>
  <si>
    <t>Is there a legal framework clearly defining the roles and responsibilities of institutions involved in ASP (e.g., social protection, finance, DRM)?</t>
  </si>
  <si>
    <t>Is there a unified social registry incorporating exposure and vulnerability data to facilitate the targeting of population potentially affected in case of disaster or climate-related shocks?</t>
  </si>
  <si>
    <t>During the most recent disaster or climate-related shock, was support promptly provided to the population through social‐protection programs? (e.g., cash transfers in the case of flood/drought)?</t>
  </si>
  <si>
    <t xml:space="preserve">Has the Ministry of Finance created or tasked an existing institutional structure (e.g., department, unit, committee) to manage contingent liabilities and/or fiscal risks, explicitly including those associated with disasters and/or climate-related shocks? </t>
  </si>
  <si>
    <t>Are contingent liabilities associated with disasters quantified through an established methodology for the major hazards?</t>
  </si>
  <si>
    <t>Do key fiscal policy documents (e.g., the medium-term fiscal framework or fiscal risk statements) include quantified assessments of disaster risks?</t>
  </si>
  <si>
    <t>Has the government conducted stress tests of public debt that include disaster or climate-related scenarios?</t>
  </si>
  <si>
    <t>Are there sovereign risk financing instruments (e.g., disaster or emergency funds, contingent loans, insurance, cat bonds) in place to manage the financial impact of disasters and climate-related shocks?</t>
  </si>
  <si>
    <t>Are there regulations that define standards for catastrophe insurance coverage of public or private assets?</t>
  </si>
  <si>
    <t>In the past five years, has the $ amount of financing that can be mobilized through sovereign risk financing instruments increased?</t>
  </si>
  <si>
    <t>Are there laws or regulations that establish the institutions responsible for coordinating post-disaster recovery and reconstruction?</t>
  </si>
  <si>
    <t>Has the government approved methodologies, guidelines, or regulations to evaluate damages following a disaster?</t>
  </si>
  <si>
    <t>After a recent major disaster, has any zoning, land use or territorial planning instrument in the affected areas been reviewed with the objective of reducing risk?</t>
  </si>
  <si>
    <r>
      <t>Geographic Dispersion and Isolation</t>
    </r>
    <r>
      <rPr>
        <b/>
        <sz val="10"/>
        <rFont val="Arial"/>
        <family val="2"/>
      </rPr>
      <t xml:space="preserve"> (for SIDS countries)</t>
    </r>
    <r>
      <rPr>
        <sz val="10"/>
        <rFont val="Arial"/>
        <family val="2"/>
      </rPr>
      <t>: Given dispersed outer islands, how are last-mile early warnings and inter-island response logistics ensured, and which state/community mechanisms bridge communication and supply gaps?</t>
    </r>
  </si>
  <si>
    <t>3.2. Public and Private investment management at the central level</t>
  </si>
  <si>
    <r>
      <t>Do laws and regulations mandate disaster and climate risk screening as part of the appraisal of new public investment projects</t>
    </r>
    <r>
      <rPr>
        <sz val="11"/>
        <color rgb="FFFF0000"/>
        <rFont val="Aptos Narrow"/>
        <family val="2"/>
      </rPr>
      <t>, including new Public-Private Partnerships?</t>
    </r>
  </si>
  <si>
    <r>
      <rPr>
        <strike/>
        <sz val="11"/>
        <color theme="1"/>
        <rFont val="Aptos Narrow"/>
        <family val="2"/>
      </rPr>
      <t xml:space="preserve">Do official guidelines exist defining disaster and climate risk screening methodologies for new public investment projects? </t>
    </r>
    <r>
      <rPr>
        <sz val="11"/>
        <color rgb="FFFF0000"/>
        <rFont val="Aptos Narrow"/>
        <family val="2"/>
      </rPr>
      <t>Does the government provide incentives for private-sector actors (including tourism, retail, and property businesses) to invest in disaster-resilient infrastructure or business continuity planning?
Examples of such incentives may include the promotion of business continuity planning, resilience standards linked to financing mechanisms, tax incentives, subsidies, or other forms of financial support.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</si>
</sst>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sz val="10"/>
      <name val="Arial"/>
      <family val="2"/>
    </font>
    <font>
      <sz val="11"/>
      <color theme="1"/>
      <name val="Aptos Narrow"/>
      <family val="2"/>
      <charset val="1"/>
    </font>
    <font>
      <b/>
      <sz val="14"/>
      <name val="Arial"/>
      <family val="2"/>
    </font>
    <font>
      <b/>
      <sz val="14"/>
      <color rgb="FFFFFFFF"/>
      <name val="Arial"/>
      <family val="2"/>
    </font>
    <font>
      <sz val="14"/>
      <color theme="1"/>
      <name val="Calibri"/>
      <family val="2"/>
      <scheme val="minor"/>
    </font>
    <font>
      <b/>
      <sz val="12"/>
      <name val="Arial"/>
      <family val="2"/>
    </font>
    <font>
      <b/>
      <sz val="12"/>
      <color theme="1"/>
      <name val="Calibri"/>
      <family val="2"/>
      <scheme val="minor"/>
    </font>
    <font>
      <sz val="11"/>
      <color rgb="FF000000"/>
      <name val="Aptos Narrow"/>
      <family val="2"/>
      <charset val="1"/>
    </font>
    <font>
      <b/>
      <sz val="11"/>
      <color theme="1"/>
      <name val="Aptos Narrow"/>
      <family val="2"/>
      <charset val="1"/>
    </font>
    <font>
      <sz val="11"/>
      <color theme="1"/>
      <name val="Aptos"/>
      <family val="2"/>
      <charset val="1"/>
    </font>
    <font>
      <i/>
      <sz val="11"/>
      <color rgb="FF7F7F7F"/>
      <name val="Aptos Narrow"/>
      <family val="2"/>
      <charset val="1"/>
    </font>
    <font>
      <i/>
      <sz val="11"/>
      <color rgb="FF7F7F7F"/>
      <name val="Aptos"/>
      <family val="2"/>
      <charset val="1"/>
    </font>
    <font>
      <b/>
      <sz val="11"/>
      <color rgb="FFFA7D00"/>
      <name val="Aptos Narrow"/>
      <family val="2"/>
      <charset val="1"/>
    </font>
    <font>
      <u/>
      <sz val="11"/>
      <color theme="10"/>
      <name val="Aptos Narrow"/>
      <family val="2"/>
      <charset val="1"/>
    </font>
    <font>
      <u/>
      <sz val="11"/>
      <color theme="10"/>
      <name val="Aptos"/>
      <family val="2"/>
      <charset val="1"/>
    </font>
    <font>
      <b/>
      <u/>
      <sz val="11"/>
      <color theme="1"/>
      <name val="Aptos"/>
      <family val="2"/>
      <charset val="1"/>
    </font>
    <font>
      <b/>
      <sz val="15"/>
      <color theme="3"/>
      <name val="Aptos Narrow"/>
      <family val="2"/>
      <charset val="1"/>
    </font>
    <font>
      <b/>
      <u/>
      <sz val="16"/>
      <color theme="1"/>
      <name val="Calibri"/>
      <family val="2"/>
    </font>
    <font>
      <b/>
      <sz val="16"/>
      <color theme="1"/>
      <name val="Calibri"/>
      <family val="2"/>
    </font>
    <font>
      <b/>
      <sz val="16"/>
      <color rgb="FF000000"/>
      <name val="Segoe UI"/>
      <family val="2"/>
    </font>
    <font>
      <b/>
      <sz val="16"/>
      <color rgb="FFFF0000"/>
      <name val="Calibri"/>
      <family val="2"/>
    </font>
    <font>
      <b/>
      <sz val="11"/>
      <color theme="1"/>
      <name val="Calibri"/>
      <family val="2"/>
      <scheme val="minor"/>
    </font>
    <font>
      <sz val="10"/>
      <color rgb="FF000000"/>
      <name val="Arial"/>
    </font>
    <font>
      <b/>
      <sz val="12"/>
      <color rgb="FF000000"/>
      <name val="Arial"/>
    </font>
    <font>
      <b/>
      <sz val="14"/>
      <color theme="1"/>
      <name val="Calibri"/>
      <family val="2"/>
      <scheme val="minor"/>
    </font>
    <font>
      <sz val="10"/>
      <color rgb="FF000000"/>
      <name val="Arial"/>
      <family val="2"/>
    </font>
    <font>
      <b/>
      <sz val="12"/>
      <color rgb="FF000000"/>
      <name val="Arial"/>
      <family val="2"/>
    </font>
    <font>
      <b/>
      <sz val="10"/>
      <name val="Arial"/>
      <family val="2"/>
    </font>
    <font>
      <sz val="11"/>
      <color rgb="FFFF0000"/>
      <name val="Aptos Narrow"/>
      <family val="2"/>
    </font>
    <font>
      <strike/>
      <sz val="11"/>
      <color theme="1"/>
      <name val="Aptos Narrow"/>
      <family val="2"/>
    </font>
    <font>
      <sz val="11"/>
      <color theme="1"/>
      <name val="Aptos Narrow"/>
      <family val="2"/>
    </font>
  </fonts>
  <fills count="16">
    <fill>
      <patternFill patternType="none"/>
    </fill>
    <fill>
      <patternFill patternType="gray125"/>
    </fill>
    <fill>
      <patternFill patternType="solid">
        <fgColor rgb="FF1F4E79"/>
        <bgColor rgb="FF1F4E79"/>
      </patternFill>
    </fill>
    <fill>
      <patternFill patternType="solid">
        <fgColor rgb="FFD6E4F0"/>
        <bgColor rgb="FFD6E4F0"/>
      </patternFill>
    </fill>
    <fill>
      <patternFill patternType="solid">
        <fgColor rgb="FFFEF5EC"/>
        <bgColor rgb="FFFEF5EC"/>
      </patternFill>
    </fill>
    <fill>
      <patternFill patternType="solid">
        <fgColor rgb="FFD5F5E3"/>
        <bgColor rgb="FFD5F5E3"/>
      </patternFill>
    </fill>
    <fill>
      <patternFill patternType="solid">
        <fgColor rgb="FFFDEDEC"/>
        <bgColor rgb="FFFDEDEC"/>
      </patternFill>
    </fill>
    <fill>
      <patternFill patternType="solid">
        <fgColor rgb="FFF5EEF8"/>
        <bgColor rgb="FFF5EEF8"/>
      </patternFill>
    </fill>
    <fill>
      <patternFill patternType="solid">
        <fgColor theme="4" tint="0.39979247413556324"/>
        <bgColor rgb="FF00CCFF"/>
      </patternFill>
    </fill>
    <fill>
      <patternFill patternType="solid">
        <fgColor theme="6" tint="0.59999389629810485"/>
        <bgColor rgb="FFFEF9E7"/>
      </patternFill>
    </fill>
    <fill>
      <patternFill patternType="solid">
        <fgColor theme="4" tint="0.39997558519241921"/>
        <bgColor rgb="FFEAF7FB"/>
      </patternFill>
    </fill>
    <fill>
      <patternFill patternType="solid">
        <fgColor theme="4" tint="0.79979857783745845"/>
        <bgColor rgb="FFCCFFFF"/>
      </patternFill>
    </fill>
    <fill>
      <patternFill patternType="solid">
        <fgColor theme="0"/>
        <bgColor rgb="FFF2F2F2"/>
      </patternFill>
    </fill>
    <fill>
      <patternFill patternType="solid">
        <fgColor rgb="FFF2F2F2"/>
        <bgColor rgb="FFFFFFFF"/>
      </patternFill>
    </fill>
    <fill>
      <patternFill patternType="solid">
        <fgColor theme="0" tint="-0.249977111117893"/>
        <bgColor rgb="FFFEF5EC"/>
      </patternFill>
    </fill>
    <fill>
      <patternFill patternType="solid">
        <fgColor theme="9" tint="0.79998168889431442"/>
        <bgColor rgb="FFFEF5EC"/>
      </patternFill>
    </fill>
  </fills>
  <borders count="6">
    <border>
      <left/>
      <right/>
      <top/>
      <bottom/>
      <diagonal/>
    </border>
    <border>
      <left/>
      <right/>
      <top/>
      <bottom style="thick">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8">
    <xf numFmtId="0" fontId="0" fillId="0" borderId="0"/>
    <xf numFmtId="0" fontId="2" fillId="8" borderId="0" applyBorder="0" applyProtection="0"/>
    <xf numFmtId="0" fontId="2" fillId="0" borderId="0"/>
    <xf numFmtId="0" fontId="2" fillId="11" borderId="0" applyBorder="0" applyProtection="0"/>
    <xf numFmtId="0" fontId="11" fillId="0" borderId="0" applyBorder="0" applyProtection="0"/>
    <xf numFmtId="0" fontId="13" fillId="13" borderId="0" applyBorder="0" applyProtection="0"/>
    <xf numFmtId="0" fontId="14" fillId="0" borderId="0" applyBorder="0" applyProtection="0"/>
    <xf numFmtId="0" fontId="17" fillId="0" borderId="1" applyProtection="0"/>
  </cellStyleXfs>
  <cellXfs count="83">
    <xf numFmtId="0" fontId="0" fillId="0" borderId="0" xfId="0"/>
    <xf numFmtId="0" fontId="5" fillId="0" borderId="0" xfId="0" applyFont="1"/>
    <xf numFmtId="0" fontId="7" fillId="0" borderId="0" xfId="0" applyFont="1"/>
    <xf numFmtId="0" fontId="2" fillId="0" borderId="0" xfId="2"/>
    <xf numFmtId="0" fontId="2" fillId="0" borderId="0" xfId="2" applyAlignment="1">
      <alignment horizontal="center" vertical="center"/>
    </xf>
    <xf numFmtId="0" fontId="2" fillId="0" borderId="0" xfId="2" applyAlignment="1">
      <alignment horizontal="left" vertical="center" wrapText="1"/>
    </xf>
    <xf numFmtId="0" fontId="2" fillId="0" borderId="2" xfId="2" applyBorder="1" applyAlignment="1">
      <alignment horizontal="center" vertical="center"/>
    </xf>
    <xf numFmtId="0" fontId="2" fillId="0" borderId="2" xfId="3" applyFill="1" applyBorder="1" applyAlignment="1" applyProtection="1">
      <alignment horizontal="center" vertical="center"/>
    </xf>
    <xf numFmtId="0" fontId="2" fillId="0" borderId="2" xfId="3" applyFill="1" applyBorder="1" applyAlignment="1" applyProtection="1">
      <alignment horizontal="left" vertical="center" wrapText="1"/>
    </xf>
    <xf numFmtId="0" fontId="2" fillId="11" borderId="2" xfId="2" applyFill="1" applyBorder="1" applyAlignment="1">
      <alignment horizontal="center" vertical="center"/>
    </xf>
    <xf numFmtId="0" fontId="2" fillId="11" borderId="2" xfId="3" applyBorder="1" applyAlignment="1" applyProtection="1">
      <alignment horizontal="center" vertical="center"/>
    </xf>
    <xf numFmtId="0" fontId="2" fillId="11" borderId="2" xfId="2" applyFill="1" applyBorder="1" applyAlignment="1">
      <alignment horizontal="left" vertical="center" wrapText="1"/>
    </xf>
    <xf numFmtId="0" fontId="2" fillId="0" borderId="2" xfId="2" applyBorder="1" applyAlignment="1">
      <alignment horizontal="left" vertical="center" wrapText="1"/>
    </xf>
    <xf numFmtId="0" fontId="2" fillId="11" borderId="2" xfId="3" applyBorder="1" applyAlignment="1" applyProtection="1">
      <alignment horizontal="left" vertical="center" wrapText="1"/>
    </xf>
    <xf numFmtId="0" fontId="2" fillId="11" borderId="2" xfId="3" applyBorder="1" applyAlignment="1" applyProtection="1">
      <alignment horizontal="right" vertical="center" wrapText="1"/>
    </xf>
    <xf numFmtId="0" fontId="2" fillId="0" borderId="2" xfId="2" applyBorder="1" applyAlignment="1">
      <alignment horizontal="right" vertical="center" wrapText="1"/>
    </xf>
    <xf numFmtId="0" fontId="8" fillId="0" borderId="0" xfId="2" applyFont="1" applyAlignment="1">
      <alignment wrapText="1"/>
    </xf>
    <xf numFmtId="0" fontId="2" fillId="0" borderId="0" xfId="2" applyAlignment="1">
      <alignment wrapText="1"/>
    </xf>
    <xf numFmtId="0" fontId="8" fillId="0" borderId="2" xfId="2" applyFont="1" applyBorder="1" applyAlignment="1">
      <alignment wrapText="1"/>
    </xf>
    <xf numFmtId="0" fontId="8" fillId="0" borderId="0" xfId="2" applyFont="1"/>
    <xf numFmtId="0" fontId="8" fillId="0" borderId="2" xfId="2" applyFont="1" applyBorder="1" applyAlignment="1">
      <alignment vertical="center" wrapText="1"/>
    </xf>
    <xf numFmtId="0" fontId="9" fillId="8" borderId="2" xfId="1" applyFont="1" applyBorder="1" applyAlignment="1" applyProtection="1">
      <alignment horizontal="center" vertical="center" wrapText="1"/>
    </xf>
    <xf numFmtId="0" fontId="9" fillId="8" borderId="2" xfId="1" applyFont="1" applyBorder="1" applyAlignment="1" applyProtection="1">
      <alignment horizontal="center" vertical="center"/>
    </xf>
    <xf numFmtId="0" fontId="10" fillId="0" borderId="0" xfId="2" applyFont="1"/>
    <xf numFmtId="0" fontId="12" fillId="0" borderId="0" xfId="4" applyFont="1" applyBorder="1" applyProtection="1"/>
    <xf numFmtId="0" fontId="2" fillId="12" borderId="0" xfId="2" applyFill="1"/>
    <xf numFmtId="0" fontId="2" fillId="12" borderId="0" xfId="2" applyFill="1" applyAlignment="1">
      <alignment horizontal="center" vertical="center"/>
    </xf>
    <xf numFmtId="0" fontId="13" fillId="13" borderId="0" xfId="5" applyBorder="1" applyAlignment="1" applyProtection="1">
      <alignment horizontal="left" vertical="center" wrapText="1"/>
    </xf>
    <xf numFmtId="0" fontId="13" fillId="13" borderId="0" xfId="5" applyBorder="1" applyAlignment="1" applyProtection="1">
      <alignment wrapText="1"/>
    </xf>
    <xf numFmtId="0" fontId="13" fillId="13" borderId="0" xfId="5" applyBorder="1" applyAlignment="1" applyProtection="1">
      <alignment horizontal="left"/>
    </xf>
    <xf numFmtId="0" fontId="10" fillId="12" borderId="0" xfId="2" applyFont="1" applyFill="1" applyAlignment="1">
      <alignment horizontal="left" vertical="center" wrapText="1"/>
    </xf>
    <xf numFmtId="0" fontId="10" fillId="12" borderId="0" xfId="2" applyFont="1" applyFill="1" applyAlignment="1">
      <alignment horizontal="left" vertical="center"/>
    </xf>
    <xf numFmtId="0" fontId="10" fillId="12" borderId="0" xfId="2" applyFont="1" applyFill="1"/>
    <xf numFmtId="0" fontId="15" fillId="0" borderId="0" xfId="6" applyFont="1" applyBorder="1" applyProtection="1"/>
    <xf numFmtId="0" fontId="10" fillId="0" borderId="0" xfId="2" applyFont="1" applyAlignment="1">
      <alignment horizontal="left" vertical="center" wrapText="1"/>
    </xf>
    <xf numFmtId="0" fontId="10" fillId="0" borderId="0" xfId="2" applyFont="1" applyAlignment="1">
      <alignment horizontal="left" vertical="center"/>
    </xf>
    <xf numFmtId="0" fontId="16" fillId="0" borderId="0" xfId="2" applyFont="1"/>
    <xf numFmtId="0" fontId="17" fillId="0" borderId="0" xfId="7" applyBorder="1" applyAlignment="1" applyProtection="1">
      <alignment horizontal="left"/>
    </xf>
    <xf numFmtId="0" fontId="4" fillId="2" borderId="2" xfId="0" applyFont="1" applyFill="1" applyBorder="1" applyAlignment="1">
      <alignment horizontal="center" vertical="center" wrapText="1"/>
    </xf>
    <xf numFmtId="0" fontId="1" fillId="4" borderId="2" xfId="0" applyFont="1" applyFill="1" applyBorder="1" applyAlignment="1">
      <alignment vertical="top" wrapText="1"/>
    </xf>
    <xf numFmtId="0" fontId="6" fillId="10" borderId="2" xfId="0" applyFont="1" applyFill="1" applyBorder="1" applyAlignment="1">
      <alignment vertical="top" wrapText="1"/>
    </xf>
    <xf numFmtId="0" fontId="1" fillId="14" borderId="2" xfId="0" applyFont="1" applyFill="1" applyBorder="1" applyAlignment="1">
      <alignment vertical="top" wrapText="1"/>
    </xf>
    <xf numFmtId="0" fontId="25" fillId="0" borderId="0" xfId="0" applyFont="1"/>
    <xf numFmtId="0" fontId="22" fillId="0" borderId="0" xfId="0" applyFont="1"/>
    <xf numFmtId="0" fontId="23" fillId="4" borderId="2" xfId="0" applyFont="1" applyFill="1" applyBorder="1" applyAlignment="1">
      <alignment vertical="top" wrapText="1"/>
    </xf>
    <xf numFmtId="0" fontId="1" fillId="15" borderId="2" xfId="0" applyFont="1" applyFill="1" applyBorder="1" applyAlignment="1">
      <alignment vertical="top" wrapText="1"/>
    </xf>
    <xf numFmtId="0" fontId="3" fillId="6"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3" fillId="9"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27" fillId="9"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1" fillId="4" borderId="3" xfId="0" applyFont="1" applyFill="1" applyBorder="1" applyAlignment="1">
      <alignment vertical="top" wrapText="1"/>
    </xf>
    <xf numFmtId="0" fontId="1" fillId="4" borderId="4" xfId="0" applyFont="1" applyFill="1" applyBorder="1" applyAlignment="1">
      <alignment vertical="top" wrapText="1"/>
    </xf>
    <xf numFmtId="0" fontId="1" fillId="4" borderId="5" xfId="0" applyFont="1" applyFill="1" applyBorder="1" applyAlignment="1">
      <alignment vertical="top" wrapText="1"/>
    </xf>
    <xf numFmtId="0" fontId="1" fillId="4" borderId="2" xfId="0" applyFont="1" applyFill="1" applyBorder="1" applyAlignment="1">
      <alignment horizontal="left" vertical="top" wrapText="1"/>
    </xf>
    <xf numFmtId="0" fontId="1" fillId="4" borderId="2" xfId="0" applyFont="1" applyFill="1" applyBorder="1" applyAlignment="1">
      <alignment vertical="top" wrapText="1"/>
    </xf>
    <xf numFmtId="0" fontId="1" fillId="14" borderId="3" xfId="0" applyFont="1" applyFill="1" applyBorder="1" applyAlignment="1">
      <alignment horizontal="center" vertical="top" wrapText="1"/>
    </xf>
    <xf numFmtId="0" fontId="1" fillId="14" borderId="5" xfId="0" applyFont="1" applyFill="1" applyBorder="1" applyAlignment="1">
      <alignment horizontal="center" vertical="top" wrapText="1"/>
    </xf>
    <xf numFmtId="0" fontId="1" fillId="4" borderId="3" xfId="0" applyFont="1" applyFill="1" applyBorder="1" applyAlignment="1">
      <alignment horizontal="left" vertical="top" wrapText="1"/>
    </xf>
    <xf numFmtId="0" fontId="1" fillId="4" borderId="4" xfId="0" applyFont="1" applyFill="1" applyBorder="1" applyAlignment="1">
      <alignment horizontal="left" vertical="top" wrapText="1"/>
    </xf>
    <xf numFmtId="0" fontId="1" fillId="4" borderId="5" xfId="0" applyFont="1" applyFill="1" applyBorder="1" applyAlignment="1">
      <alignment horizontal="left" vertical="top" wrapText="1"/>
    </xf>
    <xf numFmtId="0" fontId="1" fillId="14" borderId="4" xfId="0" applyFont="1" applyFill="1" applyBorder="1" applyAlignment="1">
      <alignment horizontal="center" vertical="top" wrapText="1"/>
    </xf>
    <xf numFmtId="0" fontId="1" fillId="14" borderId="3" xfId="0" applyFont="1" applyFill="1" applyBorder="1" applyAlignment="1">
      <alignment vertical="top" wrapText="1"/>
    </xf>
    <xf numFmtId="0" fontId="1" fillId="14" borderId="4" xfId="0" applyFont="1" applyFill="1" applyBorder="1" applyAlignment="1">
      <alignment vertical="top" wrapText="1"/>
    </xf>
    <xf numFmtId="0" fontId="1" fillId="14" borderId="5" xfId="0" applyFont="1" applyFill="1" applyBorder="1" applyAlignment="1">
      <alignment vertical="top" wrapText="1"/>
    </xf>
    <xf numFmtId="0" fontId="23" fillId="4" borderId="3" xfId="0" applyFont="1" applyFill="1" applyBorder="1" applyAlignment="1">
      <alignment vertical="top" wrapText="1"/>
    </xf>
    <xf numFmtId="0" fontId="26" fillId="4" borderId="5" xfId="0" applyFont="1" applyFill="1" applyBorder="1" applyAlignment="1">
      <alignment vertical="top" wrapText="1"/>
    </xf>
    <xf numFmtId="0" fontId="1" fillId="14" borderId="3" xfId="0" applyFont="1" applyFill="1" applyBorder="1" applyAlignment="1">
      <alignment horizontal="left" vertical="top" wrapText="1"/>
    </xf>
    <xf numFmtId="0" fontId="1" fillId="14" borderId="5" xfId="0" applyFont="1" applyFill="1" applyBorder="1" applyAlignment="1">
      <alignment horizontal="left" vertical="top" wrapText="1"/>
    </xf>
    <xf numFmtId="0" fontId="19" fillId="0" borderId="0" xfId="0" applyFont="1" applyAlignment="1">
      <alignment horizontal="left" vertical="center" wrapText="1"/>
    </xf>
    <xf numFmtId="0" fontId="18" fillId="0" borderId="0" xfId="0" applyFont="1" applyAlignment="1">
      <alignment horizontal="left" vertical="center" wrapText="1"/>
    </xf>
    <xf numFmtId="0" fontId="3" fillId="10" borderId="2" xfId="0" applyFont="1" applyFill="1" applyBorder="1" applyAlignment="1">
      <alignment horizontal="center" vertical="center" wrapText="1"/>
    </xf>
    <xf numFmtId="0" fontId="2" fillId="0" borderId="2" xfId="2" applyBorder="1" applyAlignment="1">
      <alignment horizontal="left" vertical="center"/>
    </xf>
    <xf numFmtId="0" fontId="2" fillId="0" borderId="2" xfId="2" applyBorder="1" applyAlignment="1">
      <alignment horizontal="left" vertical="center" wrapText="1"/>
    </xf>
    <xf numFmtId="0" fontId="17" fillId="0" borderId="1" xfId="7" applyAlignment="1" applyProtection="1">
      <alignment horizontal="left"/>
    </xf>
    <xf numFmtId="0" fontId="24" fillId="9" borderId="2" xfId="0" applyFont="1" applyFill="1" applyBorder="1" applyAlignment="1">
      <alignment horizontal="center" vertical="center" wrapText="1"/>
    </xf>
    <xf numFmtId="0" fontId="31" fillId="0" borderId="2" xfId="2" applyFont="1" applyBorder="1" applyAlignment="1">
      <alignment horizontal="left" vertical="center" wrapText="1"/>
    </xf>
  </cellXfs>
  <cellStyles count="8">
    <cellStyle name="Excel Built-in 20% - Accent1" xfId="3" xr:uid="{0E7A6F42-0839-48D0-8B72-D7DD733FCFA3}"/>
    <cellStyle name="Excel Built-in 60% - Accent1" xfId="1" xr:uid="{493C6ED9-CAD4-4571-9CC3-E683AD2D90CB}"/>
    <cellStyle name="Excel Built-in Calculation" xfId="5" xr:uid="{92AC8627-31C8-4DB6-80C6-50C9DDA1A3A5}"/>
    <cellStyle name="Excel Built-in Explanatory Text" xfId="4" xr:uid="{6102E83C-429E-428C-B3DA-9FEC8C081C6E}"/>
    <cellStyle name="Excel Built-in Heading 1" xfId="7" xr:uid="{87C21F12-FE5D-4CA7-87AF-34207039D905}"/>
    <cellStyle name="Hyperlink" xfId="6" builtinId="8"/>
    <cellStyle name="Normal" xfId="0" builtinId="0"/>
    <cellStyle name="Normal 2" xfId="2" xr:uid="{69B9E6D9-AAAD-4D50-AEF2-1403866B2A6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cat-ddo-drm-diagnostic-dashboard-129737065802.us-central1.run.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B49DB-4C86-4472-AD07-C9E20A0F02A6}">
  <dimension ref="A1:J54"/>
  <sheetViews>
    <sheetView topLeftCell="B1" zoomScale="70" zoomScaleNormal="70" workbookViewId="0">
      <pane ySplit="1" topLeftCell="A11" activePane="bottomLeft" state="frozen"/>
      <selection pane="bottomLeft" activeCell="G17" sqref="G17:G18"/>
    </sheetView>
  </sheetViews>
  <sheetFormatPr defaultRowHeight="18.5" x14ac:dyDescent="0.45"/>
  <cols>
    <col min="1" max="1" width="30" style="1" customWidth="1"/>
    <col min="2" max="2" width="38" style="2" customWidth="1"/>
    <col min="3" max="3" width="55" customWidth="1"/>
    <col min="4" max="5" width="30" customWidth="1"/>
    <col min="6" max="6" width="30.81640625" customWidth="1"/>
    <col min="7" max="7" width="30" customWidth="1"/>
    <col min="8" max="8" width="33.453125" bestFit="1" customWidth="1"/>
  </cols>
  <sheetData>
    <row r="1" spans="1:8" s="1" customFormat="1" ht="30" customHeight="1" x14ac:dyDescent="0.45">
      <c r="A1" s="38" t="s">
        <v>0</v>
      </c>
      <c r="B1" s="38" t="s">
        <v>1</v>
      </c>
      <c r="C1" s="38" t="s">
        <v>2</v>
      </c>
      <c r="D1" s="38" t="s">
        <v>3</v>
      </c>
      <c r="E1" s="38" t="s">
        <v>4</v>
      </c>
      <c r="F1" s="38" t="s">
        <v>5</v>
      </c>
      <c r="G1" s="38" t="s">
        <v>6</v>
      </c>
      <c r="H1" s="38" t="s">
        <v>7</v>
      </c>
    </row>
    <row r="2" spans="1:8" ht="146.25" customHeight="1" x14ac:dyDescent="0.35">
      <c r="A2" s="53" t="s">
        <v>8</v>
      </c>
      <c r="B2" s="54" t="s">
        <v>9</v>
      </c>
      <c r="C2" s="39" t="s">
        <v>10</v>
      </c>
      <c r="D2" s="39" t="s">
        <v>11</v>
      </c>
      <c r="E2" s="39" t="s">
        <v>12</v>
      </c>
      <c r="F2" s="39" t="s">
        <v>13</v>
      </c>
      <c r="G2" s="39" t="s">
        <v>14</v>
      </c>
      <c r="H2" s="41"/>
    </row>
    <row r="3" spans="1:8" ht="60" customHeight="1" x14ac:dyDescent="0.35">
      <c r="A3" s="53"/>
      <c r="B3" s="54"/>
      <c r="C3" s="39" t="s">
        <v>15</v>
      </c>
      <c r="D3" s="39" t="s">
        <v>16</v>
      </c>
      <c r="E3" s="39" t="s">
        <v>17</v>
      </c>
      <c r="F3" s="39" t="s">
        <v>18</v>
      </c>
      <c r="G3" s="39" t="s">
        <v>19</v>
      </c>
      <c r="H3" s="41"/>
    </row>
    <row r="4" spans="1:8" ht="60" customHeight="1" x14ac:dyDescent="0.35">
      <c r="A4" s="53"/>
      <c r="B4" s="54"/>
      <c r="C4" s="60" t="s">
        <v>20</v>
      </c>
      <c r="D4" s="60" t="s">
        <v>21</v>
      </c>
      <c r="E4" s="61" t="s">
        <v>22</v>
      </c>
      <c r="F4" s="61" t="s">
        <v>23</v>
      </c>
      <c r="G4" s="61" t="s">
        <v>24</v>
      </c>
      <c r="H4" s="62"/>
    </row>
    <row r="5" spans="1:8" ht="46.5" customHeight="1" x14ac:dyDescent="0.35">
      <c r="A5" s="53"/>
      <c r="B5" s="54"/>
      <c r="C5" s="60"/>
      <c r="D5" s="60"/>
      <c r="E5" s="61"/>
      <c r="F5" s="61"/>
      <c r="G5" s="61"/>
      <c r="H5" s="63"/>
    </row>
    <row r="6" spans="1:8" ht="60" customHeight="1" x14ac:dyDescent="0.35">
      <c r="A6" s="53"/>
      <c r="B6" s="54" t="s">
        <v>25</v>
      </c>
      <c r="C6" s="39" t="s">
        <v>26</v>
      </c>
      <c r="D6" s="39" t="s">
        <v>27</v>
      </c>
      <c r="E6" s="39" t="s">
        <v>28</v>
      </c>
      <c r="F6" s="39" t="s">
        <v>29</v>
      </c>
      <c r="G6" s="39" t="s">
        <v>30</v>
      </c>
      <c r="H6" s="41"/>
    </row>
    <row r="7" spans="1:8" ht="112.5" x14ac:dyDescent="0.35">
      <c r="A7" s="53"/>
      <c r="B7" s="54"/>
      <c r="C7" s="44" t="s">
        <v>31</v>
      </c>
      <c r="D7" s="39" t="s">
        <v>32</v>
      </c>
      <c r="E7" s="39" t="s">
        <v>33</v>
      </c>
      <c r="F7" s="39" t="s">
        <v>34</v>
      </c>
      <c r="G7" s="39" t="s">
        <v>35</v>
      </c>
      <c r="H7" s="41"/>
    </row>
    <row r="8" spans="1:8" ht="68.150000000000006" customHeight="1" x14ac:dyDescent="0.35">
      <c r="A8" s="55" t="s">
        <v>36</v>
      </c>
      <c r="B8" s="56" t="s">
        <v>36</v>
      </c>
      <c r="C8" s="39" t="s">
        <v>37</v>
      </c>
      <c r="D8" s="39" t="s">
        <v>38</v>
      </c>
      <c r="E8" s="39" t="s">
        <v>39</v>
      </c>
      <c r="F8" s="39" t="s">
        <v>40</v>
      </c>
      <c r="G8" s="39" t="s">
        <v>41</v>
      </c>
      <c r="H8" s="41"/>
    </row>
    <row r="9" spans="1:8" ht="60" customHeight="1" x14ac:dyDescent="0.35">
      <c r="A9" s="55"/>
      <c r="B9" s="56"/>
      <c r="C9" s="39" t="s">
        <v>42</v>
      </c>
      <c r="D9" s="39" t="s">
        <v>43</v>
      </c>
      <c r="E9" s="39" t="s">
        <v>44</v>
      </c>
      <c r="F9" s="39" t="s">
        <v>45</v>
      </c>
      <c r="G9" s="39" t="s">
        <v>46</v>
      </c>
      <c r="H9" s="41"/>
    </row>
    <row r="10" spans="1:8" ht="107.15" customHeight="1" x14ac:dyDescent="0.35">
      <c r="A10" s="55"/>
      <c r="B10" s="56"/>
      <c r="C10" s="39" t="s">
        <v>47</v>
      </c>
      <c r="D10" s="39" t="s">
        <v>48</v>
      </c>
      <c r="E10" s="39" t="s">
        <v>49</v>
      </c>
      <c r="F10" s="39" t="s">
        <v>50</v>
      </c>
      <c r="G10" s="39" t="s">
        <v>51</v>
      </c>
      <c r="H10" s="41"/>
    </row>
    <row r="11" spans="1:8" ht="87" customHeight="1" x14ac:dyDescent="0.35">
      <c r="A11" s="55"/>
      <c r="B11" s="56"/>
      <c r="C11" s="39" t="s">
        <v>52</v>
      </c>
      <c r="D11" s="39" t="s">
        <v>53</v>
      </c>
      <c r="E11" s="39" t="s">
        <v>54</v>
      </c>
      <c r="F11" s="39" t="s">
        <v>55</v>
      </c>
      <c r="G11" s="39" t="s">
        <v>56</v>
      </c>
      <c r="H11" s="41"/>
    </row>
    <row r="12" spans="1:8" ht="14.5" x14ac:dyDescent="0.35">
      <c r="A12" s="50" t="s">
        <v>57</v>
      </c>
      <c r="B12" s="51" t="s">
        <v>58</v>
      </c>
      <c r="C12" s="57" t="s">
        <v>59</v>
      </c>
      <c r="D12" s="57" t="s">
        <v>60</v>
      </c>
      <c r="E12" s="57" t="s">
        <v>61</v>
      </c>
      <c r="F12" s="57" t="s">
        <v>62</v>
      </c>
      <c r="G12" s="57" t="s">
        <v>63</v>
      </c>
      <c r="H12" s="68"/>
    </row>
    <row r="13" spans="1:8" ht="14.5" x14ac:dyDescent="0.35">
      <c r="A13" s="50"/>
      <c r="B13" s="51"/>
      <c r="C13" s="58"/>
      <c r="D13" s="58"/>
      <c r="E13" s="58"/>
      <c r="F13" s="58"/>
      <c r="G13" s="58"/>
      <c r="H13" s="69"/>
    </row>
    <row r="14" spans="1:8" ht="60" customHeight="1" x14ac:dyDescent="0.35">
      <c r="A14" s="50"/>
      <c r="B14" s="51"/>
      <c r="C14" s="58"/>
      <c r="D14" s="58"/>
      <c r="E14" s="58"/>
      <c r="F14" s="58"/>
      <c r="G14" s="58"/>
      <c r="H14" s="69"/>
    </row>
    <row r="15" spans="1:8" ht="14.5" x14ac:dyDescent="0.35">
      <c r="A15" s="50"/>
      <c r="B15" s="51"/>
      <c r="C15" s="59"/>
      <c r="D15" s="59"/>
      <c r="E15" s="59"/>
      <c r="F15" s="59"/>
      <c r="G15" s="59"/>
      <c r="H15" s="70"/>
    </row>
    <row r="16" spans="1:8" ht="67" customHeight="1" x14ac:dyDescent="0.35">
      <c r="A16" s="50"/>
      <c r="B16" s="81" t="s">
        <v>245</v>
      </c>
      <c r="C16" s="39" t="s">
        <v>64</v>
      </c>
      <c r="D16" s="39" t="s">
        <v>65</v>
      </c>
      <c r="E16" s="39" t="s">
        <v>66</v>
      </c>
      <c r="F16" s="39" t="s">
        <v>67</v>
      </c>
      <c r="G16" s="39" t="s">
        <v>68</v>
      </c>
      <c r="H16" s="41"/>
    </row>
    <row r="17" spans="1:8" ht="68.5" customHeight="1" x14ac:dyDescent="0.35">
      <c r="A17" s="50"/>
      <c r="B17" s="52"/>
      <c r="C17" s="71" t="s">
        <v>69</v>
      </c>
      <c r="D17" s="57" t="s">
        <v>70</v>
      </c>
      <c r="E17" s="57" t="s">
        <v>71</v>
      </c>
      <c r="F17" s="57" t="s">
        <v>72</v>
      </c>
      <c r="G17" s="57" t="s">
        <v>73</v>
      </c>
      <c r="H17" s="68"/>
    </row>
    <row r="18" spans="1:8" ht="79.5" customHeight="1" x14ac:dyDescent="0.35">
      <c r="A18" s="50"/>
      <c r="B18" s="52"/>
      <c r="C18" s="72"/>
      <c r="D18" s="59"/>
      <c r="E18" s="59"/>
      <c r="F18" s="59"/>
      <c r="G18" s="59"/>
      <c r="H18" s="70"/>
    </row>
    <row r="19" spans="1:8" ht="14.5" x14ac:dyDescent="0.35">
      <c r="A19" s="50"/>
      <c r="B19" s="51" t="s">
        <v>74</v>
      </c>
      <c r="C19" s="64" t="s">
        <v>75</v>
      </c>
      <c r="D19" s="64" t="s">
        <v>76</v>
      </c>
      <c r="E19" s="64" t="s">
        <v>77</v>
      </c>
      <c r="F19" s="64" t="s">
        <v>78</v>
      </c>
      <c r="G19" s="64" t="s">
        <v>79</v>
      </c>
      <c r="H19" s="62"/>
    </row>
    <row r="20" spans="1:8" ht="14.5" x14ac:dyDescent="0.35">
      <c r="A20" s="50"/>
      <c r="B20" s="51"/>
      <c r="C20" s="65"/>
      <c r="D20" s="65"/>
      <c r="E20" s="65"/>
      <c r="F20" s="65"/>
      <c r="G20" s="65"/>
      <c r="H20" s="67"/>
    </row>
    <row r="21" spans="1:8" ht="123.75" customHeight="1" x14ac:dyDescent="0.35">
      <c r="A21" s="50"/>
      <c r="B21" s="51"/>
      <c r="C21" s="65"/>
      <c r="D21" s="65"/>
      <c r="E21" s="65"/>
      <c r="F21" s="65"/>
      <c r="G21" s="65"/>
      <c r="H21" s="67"/>
    </row>
    <row r="22" spans="1:8" ht="14.5" x14ac:dyDescent="0.35">
      <c r="A22" s="50"/>
      <c r="B22" s="51"/>
      <c r="C22" s="66"/>
      <c r="D22" s="66"/>
      <c r="E22" s="66"/>
      <c r="F22" s="66"/>
      <c r="G22" s="66"/>
      <c r="H22" s="63"/>
    </row>
    <row r="23" spans="1:8" ht="66.650000000000006" customHeight="1" x14ac:dyDescent="0.35">
      <c r="A23" s="50"/>
      <c r="B23" s="51"/>
      <c r="C23" s="64" t="s">
        <v>80</v>
      </c>
      <c r="D23" s="64" t="s">
        <v>81</v>
      </c>
      <c r="E23" s="64" t="s">
        <v>82</v>
      </c>
      <c r="F23" s="64" t="s">
        <v>83</v>
      </c>
      <c r="G23" s="64" t="s">
        <v>84</v>
      </c>
      <c r="H23" s="73"/>
    </row>
    <row r="24" spans="1:8" ht="14.5" x14ac:dyDescent="0.35">
      <c r="A24" s="50"/>
      <c r="B24" s="51"/>
      <c r="C24" s="66"/>
      <c r="D24" s="66"/>
      <c r="E24" s="66"/>
      <c r="F24" s="66"/>
      <c r="G24" s="66"/>
      <c r="H24" s="74"/>
    </row>
    <row r="25" spans="1:8" ht="117.65" customHeight="1" x14ac:dyDescent="0.35">
      <c r="A25" s="50"/>
      <c r="B25" s="51"/>
      <c r="C25" s="64" t="s">
        <v>85</v>
      </c>
      <c r="D25" s="64" t="s">
        <v>86</v>
      </c>
      <c r="E25" s="64" t="s">
        <v>87</v>
      </c>
      <c r="F25" s="64" t="s">
        <v>88</v>
      </c>
      <c r="G25" s="64" t="s">
        <v>89</v>
      </c>
      <c r="H25" s="62"/>
    </row>
    <row r="26" spans="1:8" ht="60" customHeight="1" x14ac:dyDescent="0.35">
      <c r="A26" s="50"/>
      <c r="B26" s="51"/>
      <c r="C26" s="65"/>
      <c r="D26" s="65"/>
      <c r="E26" s="65"/>
      <c r="F26" s="65"/>
      <c r="G26" s="65"/>
      <c r="H26" s="67"/>
    </row>
    <row r="27" spans="1:8" ht="60" customHeight="1" x14ac:dyDescent="0.35">
      <c r="A27" s="50"/>
      <c r="B27" s="51"/>
      <c r="C27" s="66"/>
      <c r="D27" s="66"/>
      <c r="E27" s="66"/>
      <c r="F27" s="66"/>
      <c r="G27" s="66"/>
      <c r="H27" s="63"/>
    </row>
    <row r="28" spans="1:8" ht="82" customHeight="1" x14ac:dyDescent="0.35">
      <c r="A28" s="46" t="s">
        <v>90</v>
      </c>
      <c r="B28" s="47" t="s">
        <v>91</v>
      </c>
      <c r="C28" s="39" t="s">
        <v>92</v>
      </c>
      <c r="D28" s="39" t="s">
        <v>93</v>
      </c>
      <c r="E28" s="39" t="s">
        <v>94</v>
      </c>
      <c r="F28" s="39" t="s">
        <v>95</v>
      </c>
      <c r="G28" s="39" t="s">
        <v>96</v>
      </c>
      <c r="H28" s="41"/>
    </row>
    <row r="29" spans="1:8" ht="81" customHeight="1" x14ac:dyDescent="0.35">
      <c r="A29" s="46"/>
      <c r="B29" s="47"/>
      <c r="C29" s="64" t="s">
        <v>97</v>
      </c>
      <c r="D29" s="64" t="s">
        <v>98</v>
      </c>
      <c r="E29" s="64" t="s">
        <v>99</v>
      </c>
      <c r="F29" s="64" t="s">
        <v>100</v>
      </c>
      <c r="G29" s="64" t="s">
        <v>101</v>
      </c>
      <c r="H29" s="62"/>
    </row>
    <row r="30" spans="1:8" ht="60" customHeight="1" x14ac:dyDescent="0.35">
      <c r="A30" s="46"/>
      <c r="B30" s="47"/>
      <c r="C30" s="66"/>
      <c r="D30" s="66"/>
      <c r="E30" s="66"/>
      <c r="F30" s="66"/>
      <c r="G30" s="66"/>
      <c r="H30" s="63"/>
    </row>
    <row r="31" spans="1:8" ht="89.25" customHeight="1" x14ac:dyDescent="0.35">
      <c r="A31" s="46"/>
      <c r="B31" s="47" t="s">
        <v>102</v>
      </c>
      <c r="C31" s="64" t="s">
        <v>103</v>
      </c>
      <c r="D31" s="64" t="s">
        <v>104</v>
      </c>
      <c r="E31" s="64" t="s">
        <v>105</v>
      </c>
      <c r="F31" s="64" t="s">
        <v>106</v>
      </c>
      <c r="G31" s="64" t="s">
        <v>107</v>
      </c>
      <c r="H31" s="62"/>
    </row>
    <row r="32" spans="1:8" ht="68.5" customHeight="1" x14ac:dyDescent="0.35">
      <c r="A32" s="46"/>
      <c r="B32" s="47"/>
      <c r="C32" s="66"/>
      <c r="D32" s="66"/>
      <c r="E32" s="66"/>
      <c r="F32" s="66"/>
      <c r="G32" s="66"/>
      <c r="H32" s="63"/>
    </row>
    <row r="33" spans="1:8" ht="63" x14ac:dyDescent="0.35">
      <c r="A33" s="46"/>
      <c r="B33" s="47"/>
      <c r="C33" s="45" t="s">
        <v>244</v>
      </c>
      <c r="D33" s="45" t="s">
        <v>108</v>
      </c>
      <c r="E33" s="45" t="s">
        <v>109</v>
      </c>
      <c r="F33" s="45" t="s">
        <v>110</v>
      </c>
      <c r="G33" s="45" t="s">
        <v>111</v>
      </c>
      <c r="H33" s="41"/>
    </row>
    <row r="34" spans="1:8" ht="72.75" customHeight="1" x14ac:dyDescent="0.35">
      <c r="A34" s="46"/>
      <c r="B34" s="47"/>
      <c r="C34" s="39" t="s">
        <v>112</v>
      </c>
      <c r="D34" s="39" t="s">
        <v>113</v>
      </c>
      <c r="E34" s="39" t="s">
        <v>114</v>
      </c>
      <c r="F34" s="39" t="s">
        <v>115</v>
      </c>
      <c r="G34" s="39" t="s">
        <v>116</v>
      </c>
      <c r="H34" s="41"/>
    </row>
    <row r="35" spans="1:8" ht="60" customHeight="1" x14ac:dyDescent="0.35">
      <c r="A35" s="46"/>
      <c r="B35" s="47" t="s">
        <v>117</v>
      </c>
      <c r="C35" s="39" t="s">
        <v>118</v>
      </c>
      <c r="D35" s="39" t="s">
        <v>119</v>
      </c>
      <c r="E35" s="39" t="s">
        <v>120</v>
      </c>
      <c r="F35" s="39" t="s">
        <v>121</v>
      </c>
      <c r="G35" s="39" t="s">
        <v>122</v>
      </c>
      <c r="H35" s="41"/>
    </row>
    <row r="36" spans="1:8" ht="81.650000000000006" customHeight="1" x14ac:dyDescent="0.35">
      <c r="A36" s="46"/>
      <c r="B36" s="47"/>
      <c r="C36" s="39" t="s">
        <v>123</v>
      </c>
      <c r="D36" s="39" t="s">
        <v>124</v>
      </c>
      <c r="E36" s="39" t="s">
        <v>125</v>
      </c>
      <c r="F36" s="39" t="s">
        <v>126</v>
      </c>
      <c r="G36" s="39" t="s">
        <v>127</v>
      </c>
      <c r="H36" s="41"/>
    </row>
    <row r="37" spans="1:8" ht="60" customHeight="1" x14ac:dyDescent="0.35">
      <c r="A37" s="46"/>
      <c r="B37" s="47"/>
      <c r="C37" s="39" t="s">
        <v>128</v>
      </c>
      <c r="D37" s="39" t="s">
        <v>129</v>
      </c>
      <c r="E37" s="39" t="s">
        <v>130</v>
      </c>
      <c r="F37" s="39" t="s">
        <v>131</v>
      </c>
      <c r="G37" s="39" t="s">
        <v>132</v>
      </c>
      <c r="H37" s="41"/>
    </row>
    <row r="38" spans="1:8" ht="76" customHeight="1" x14ac:dyDescent="0.35">
      <c r="A38" s="48" t="s">
        <v>133</v>
      </c>
      <c r="B38" s="49" t="s">
        <v>134</v>
      </c>
      <c r="C38" s="39" t="s">
        <v>135</v>
      </c>
      <c r="D38" s="39" t="s">
        <v>136</v>
      </c>
      <c r="E38" s="39" t="s">
        <v>137</v>
      </c>
      <c r="F38" s="39" t="s">
        <v>138</v>
      </c>
      <c r="G38" s="39" t="s">
        <v>139</v>
      </c>
      <c r="H38" s="41"/>
    </row>
    <row r="39" spans="1:8" ht="60" customHeight="1" x14ac:dyDescent="0.35">
      <c r="A39" s="48"/>
      <c r="B39" s="49"/>
      <c r="C39" s="39" t="s">
        <v>140</v>
      </c>
      <c r="D39" s="39" t="s">
        <v>141</v>
      </c>
      <c r="E39" s="39" t="s">
        <v>142</v>
      </c>
      <c r="F39" s="39" t="s">
        <v>143</v>
      </c>
      <c r="G39" s="39" t="s">
        <v>144</v>
      </c>
      <c r="H39" s="41"/>
    </row>
    <row r="40" spans="1:8" ht="60" customHeight="1" x14ac:dyDescent="0.35">
      <c r="A40" s="48"/>
      <c r="B40" s="49"/>
      <c r="C40" s="64" t="s">
        <v>145</v>
      </c>
      <c r="D40" s="64" t="s">
        <v>146</v>
      </c>
      <c r="E40" s="64" t="s">
        <v>147</v>
      </c>
      <c r="F40" s="64" t="s">
        <v>148</v>
      </c>
      <c r="G40" s="64" t="s">
        <v>149</v>
      </c>
      <c r="H40" s="62"/>
    </row>
    <row r="41" spans="1:8" ht="76.5" customHeight="1" x14ac:dyDescent="0.35">
      <c r="A41" s="48"/>
      <c r="B41" s="49"/>
      <c r="C41" s="66"/>
      <c r="D41" s="66"/>
      <c r="E41" s="66"/>
      <c r="F41" s="66"/>
      <c r="G41" s="66"/>
      <c r="H41" s="63"/>
    </row>
    <row r="42" spans="1:8" ht="110.25" customHeight="1" x14ac:dyDescent="0.35">
      <c r="A42" s="48"/>
      <c r="B42" s="49" t="s">
        <v>150</v>
      </c>
      <c r="C42" s="64" t="s">
        <v>151</v>
      </c>
      <c r="D42" s="64" t="s">
        <v>152</v>
      </c>
      <c r="E42" s="64" t="s">
        <v>153</v>
      </c>
      <c r="F42" s="64" t="s">
        <v>154</v>
      </c>
      <c r="G42" s="64" t="s">
        <v>155</v>
      </c>
      <c r="H42" s="73"/>
    </row>
    <row r="43" spans="1:8" ht="14.5" x14ac:dyDescent="0.35">
      <c r="A43" s="48"/>
      <c r="B43" s="49"/>
      <c r="C43" s="66"/>
      <c r="D43" s="66"/>
      <c r="E43" s="66"/>
      <c r="F43" s="66"/>
      <c r="G43" s="66"/>
      <c r="H43" s="74"/>
    </row>
    <row r="44" spans="1:8" ht="75" x14ac:dyDescent="0.35">
      <c r="A44" s="48"/>
      <c r="B44" s="49"/>
      <c r="C44" s="39" t="s">
        <v>156</v>
      </c>
      <c r="D44" s="39" t="s">
        <v>157</v>
      </c>
      <c r="E44" s="39" t="s">
        <v>158</v>
      </c>
      <c r="F44" s="39" t="s">
        <v>159</v>
      </c>
      <c r="G44" s="39" t="s">
        <v>160</v>
      </c>
      <c r="H44" s="41"/>
    </row>
    <row r="45" spans="1:8" ht="124.5" customHeight="1" x14ac:dyDescent="0.35">
      <c r="A45" s="77" t="s">
        <v>161</v>
      </c>
      <c r="B45" s="40" t="s">
        <v>162</v>
      </c>
      <c r="C45" s="39" t="s">
        <v>163</v>
      </c>
      <c r="D45" s="39" t="s">
        <v>164</v>
      </c>
      <c r="E45" s="39" t="s">
        <v>165</v>
      </c>
      <c r="F45" s="39" t="s">
        <v>166</v>
      </c>
      <c r="G45" s="39" t="s">
        <v>167</v>
      </c>
      <c r="H45" s="41"/>
    </row>
    <row r="46" spans="1:8" ht="60" customHeight="1" x14ac:dyDescent="0.35">
      <c r="A46" s="77"/>
      <c r="B46" s="40" t="s">
        <v>168</v>
      </c>
      <c r="C46" s="39" t="s">
        <v>169</v>
      </c>
      <c r="D46" s="39" t="s">
        <v>170</v>
      </c>
      <c r="E46" s="39" t="s">
        <v>171</v>
      </c>
      <c r="F46" s="39" t="s">
        <v>172</v>
      </c>
      <c r="G46" s="39" t="s">
        <v>173</v>
      </c>
      <c r="H46" s="41"/>
    </row>
    <row r="47" spans="1:8" ht="60" customHeight="1" x14ac:dyDescent="0.35">
      <c r="A47" s="77"/>
      <c r="B47" s="40" t="s">
        <v>174</v>
      </c>
      <c r="C47" s="39" t="s">
        <v>175</v>
      </c>
      <c r="D47" s="39" t="s">
        <v>176</v>
      </c>
      <c r="E47" s="39" t="s">
        <v>177</v>
      </c>
      <c r="F47" s="39" t="s">
        <v>178</v>
      </c>
      <c r="G47" s="39" t="s">
        <v>179</v>
      </c>
      <c r="H47" s="41"/>
    </row>
    <row r="49" spans="1:10" ht="16.5" customHeight="1" x14ac:dyDescent="0.35">
      <c r="A49" s="75" t="s">
        <v>180</v>
      </c>
      <c r="B49" s="76"/>
      <c r="C49" s="76"/>
      <c r="D49" s="76"/>
      <c r="E49" s="76"/>
      <c r="F49" s="76"/>
      <c r="G49" s="76"/>
      <c r="H49" s="76"/>
    </row>
    <row r="50" spans="1:10" ht="123.75" customHeight="1" x14ac:dyDescent="0.35">
      <c r="A50" s="76"/>
      <c r="B50" s="76"/>
      <c r="C50" s="76"/>
      <c r="D50" s="76"/>
      <c r="E50" s="76"/>
      <c r="F50" s="76"/>
      <c r="G50" s="76"/>
      <c r="H50" s="76"/>
    </row>
    <row r="52" spans="1:10" x14ac:dyDescent="0.45">
      <c r="A52" s="42" t="s">
        <v>181</v>
      </c>
      <c r="C52" s="43"/>
      <c r="D52" s="43"/>
      <c r="E52" s="43"/>
      <c r="F52" s="43"/>
      <c r="G52" s="43"/>
      <c r="H52" s="43"/>
      <c r="I52" s="43"/>
      <c r="J52" s="43"/>
    </row>
    <row r="53" spans="1:10" x14ac:dyDescent="0.45">
      <c r="A53" s="42" t="s">
        <v>182</v>
      </c>
      <c r="C53" s="43"/>
      <c r="D53" s="43"/>
      <c r="E53" s="43"/>
      <c r="F53" s="43"/>
      <c r="G53" s="43"/>
      <c r="H53" s="43"/>
      <c r="I53" s="43"/>
      <c r="J53" s="43"/>
    </row>
    <row r="54" spans="1:10" x14ac:dyDescent="0.45">
      <c r="A54" s="42" t="s">
        <v>183</v>
      </c>
      <c r="C54" s="43"/>
      <c r="D54" s="43"/>
      <c r="E54" s="43"/>
      <c r="F54" s="43"/>
      <c r="G54" s="43"/>
      <c r="H54" s="43"/>
      <c r="I54" s="43"/>
      <c r="J54" s="43"/>
    </row>
  </sheetData>
  <mergeCells count="78">
    <mergeCell ref="A49:H50"/>
    <mergeCell ref="H40:H41"/>
    <mergeCell ref="C42:C43"/>
    <mergeCell ref="D42:D43"/>
    <mergeCell ref="E42:E43"/>
    <mergeCell ref="F42:F43"/>
    <mergeCell ref="G42:G43"/>
    <mergeCell ref="H42:H43"/>
    <mergeCell ref="C40:C41"/>
    <mergeCell ref="D40:D41"/>
    <mergeCell ref="E40:E41"/>
    <mergeCell ref="F40:F41"/>
    <mergeCell ref="G40:G41"/>
    <mergeCell ref="A45:A47"/>
    <mergeCell ref="H29:H30"/>
    <mergeCell ref="C31:C32"/>
    <mergeCell ref="D31:D32"/>
    <mergeCell ref="E31:E32"/>
    <mergeCell ref="F31:F32"/>
    <mergeCell ref="G31:G32"/>
    <mergeCell ref="H31:H32"/>
    <mergeCell ref="C29:C30"/>
    <mergeCell ref="D29:D30"/>
    <mergeCell ref="E29:E30"/>
    <mergeCell ref="F29:F30"/>
    <mergeCell ref="G29:G30"/>
    <mergeCell ref="H23:H24"/>
    <mergeCell ref="C25:C27"/>
    <mergeCell ref="D25:D27"/>
    <mergeCell ref="E25:E27"/>
    <mergeCell ref="F25:F27"/>
    <mergeCell ref="G25:G27"/>
    <mergeCell ref="H25:H27"/>
    <mergeCell ref="C23:C24"/>
    <mergeCell ref="D23:D24"/>
    <mergeCell ref="E23:E24"/>
    <mergeCell ref="F23:F24"/>
    <mergeCell ref="G23:G24"/>
    <mergeCell ref="H4:H5"/>
    <mergeCell ref="C19:C22"/>
    <mergeCell ref="D19:D22"/>
    <mergeCell ref="E19:E22"/>
    <mergeCell ref="F19:F22"/>
    <mergeCell ref="G19:G22"/>
    <mergeCell ref="H19:H22"/>
    <mergeCell ref="H12:H15"/>
    <mergeCell ref="C17:C18"/>
    <mergeCell ref="D17:D18"/>
    <mergeCell ref="E17:E18"/>
    <mergeCell ref="F17:F18"/>
    <mergeCell ref="G17:G18"/>
    <mergeCell ref="H17:H18"/>
    <mergeCell ref="C12:C15"/>
    <mergeCell ref="D12:D15"/>
    <mergeCell ref="E12:E15"/>
    <mergeCell ref="F12:F15"/>
    <mergeCell ref="G12:G15"/>
    <mergeCell ref="C4:C5"/>
    <mergeCell ref="D4:D5"/>
    <mergeCell ref="E4:E5"/>
    <mergeCell ref="F4:F5"/>
    <mergeCell ref="G4:G5"/>
    <mergeCell ref="A12:A27"/>
    <mergeCell ref="B12:B15"/>
    <mergeCell ref="B16:B18"/>
    <mergeCell ref="B19:B27"/>
    <mergeCell ref="A2:A7"/>
    <mergeCell ref="B2:B5"/>
    <mergeCell ref="B6:B7"/>
    <mergeCell ref="A8:A11"/>
    <mergeCell ref="B8:B11"/>
    <mergeCell ref="A28:A37"/>
    <mergeCell ref="B28:B30"/>
    <mergeCell ref="B31:B34"/>
    <mergeCell ref="B35:B37"/>
    <mergeCell ref="A38:A44"/>
    <mergeCell ref="B38:B41"/>
    <mergeCell ref="B42:B44"/>
  </mergeCells>
  <pageMargins left="0.75" right="0.75" top="1" bottom="1" header="0.5" footer="0.5"/>
  <pageSetup paperSize="9" orientation="portrait" horizontalDpi="300" verticalDpi="300" r:id="rId1"/>
  <headerFooter>
    <oddFooter>&amp;R_x000D_&amp;1#&amp;"Aptos"&amp;10&amp;K000000 Official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F5834-8231-4C6B-9EEB-4CABD053AC7E}">
  <dimension ref="B2:BA197"/>
  <sheetViews>
    <sheetView showGridLines="0" tabSelected="1" topLeftCell="B26" zoomScale="90" zoomScaleNormal="90" workbookViewId="0">
      <selection activeCell="D30" sqref="D30"/>
    </sheetView>
  </sheetViews>
  <sheetFormatPr defaultColWidth="8.54296875" defaultRowHeight="14.5" x14ac:dyDescent="0.35"/>
  <cols>
    <col min="1" max="1" width="2.26953125" style="3" customWidth="1"/>
    <col min="2" max="2" width="22.7265625" style="3" customWidth="1"/>
    <col min="3" max="3" width="23.26953125" style="3" customWidth="1"/>
    <col min="4" max="4" width="89.1796875" style="5" customWidth="1"/>
    <col min="5" max="5" width="31.453125" style="4" customWidth="1"/>
    <col min="6" max="6" width="40.54296875" style="4" customWidth="1"/>
    <col min="7" max="7" width="23.7265625" style="4" customWidth="1"/>
    <col min="8" max="8" width="9.453125" style="4" hidden="1" customWidth="1"/>
    <col min="9" max="10" width="6.7265625" style="4" hidden="1" customWidth="1"/>
    <col min="11" max="11" width="17.54296875" style="4" hidden="1" customWidth="1"/>
    <col min="12" max="12" width="75" style="3" customWidth="1"/>
    <col min="13" max="13" width="28.54296875" style="3" customWidth="1"/>
    <col min="14" max="14" width="20.54296875" style="3" customWidth="1"/>
    <col min="15" max="16384" width="8.54296875" style="3"/>
  </cols>
  <sheetData>
    <row r="2" spans="2:53" ht="20" thickBot="1" x14ac:dyDescent="0.5">
      <c r="B2" s="80" t="s">
        <v>184</v>
      </c>
      <c r="C2" s="80"/>
      <c r="D2" s="80"/>
      <c r="E2" s="80"/>
      <c r="F2" s="80"/>
      <c r="G2" s="80"/>
      <c r="H2" s="80"/>
      <c r="I2" s="37"/>
      <c r="J2" s="37"/>
    </row>
    <row r="4" spans="2:53" x14ac:dyDescent="0.35">
      <c r="B4" s="36" t="s">
        <v>185</v>
      </c>
      <c r="C4" s="35"/>
      <c r="D4" s="34"/>
    </row>
    <row r="5" spans="2:53" x14ac:dyDescent="0.35">
      <c r="B5" s="23" t="s">
        <v>186</v>
      </c>
      <c r="C5" s="35"/>
      <c r="D5" s="34"/>
    </row>
    <row r="6" spans="2:53" ht="14.25" customHeight="1" x14ac:dyDescent="0.35">
      <c r="B6" s="23" t="s">
        <v>187</v>
      </c>
      <c r="C6" s="23"/>
      <c r="D6" s="34"/>
    </row>
    <row r="7" spans="2:53" ht="14.25" customHeight="1" x14ac:dyDescent="0.35">
      <c r="B7" s="33" t="s">
        <v>188</v>
      </c>
      <c r="C7" s="23"/>
      <c r="D7" s="34"/>
    </row>
    <row r="8" spans="2:53" ht="14.25" customHeight="1" x14ac:dyDescent="0.35">
      <c r="B8" s="33"/>
      <c r="C8" s="32"/>
      <c r="D8" s="30"/>
      <c r="E8" s="26"/>
      <c r="F8" s="26"/>
      <c r="G8" s="26"/>
      <c r="J8" s="23"/>
      <c r="K8" s="26"/>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row>
    <row r="9" spans="2:53" x14ac:dyDescent="0.35">
      <c r="B9" s="23" t="s">
        <v>189</v>
      </c>
      <c r="C9" s="31"/>
      <c r="D9" s="30"/>
      <c r="E9" s="26"/>
      <c r="F9" s="26"/>
      <c r="G9" s="26"/>
      <c r="K9" s="26"/>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row>
    <row r="10" spans="2:53" x14ac:dyDescent="0.35">
      <c r="B10" s="29" t="str">
        <f>IF(COUNTBLANK(E15:E60)&gt;0,_xlfn.CONCAT("Please complete the assessment to proceed. Remaining questions: ",COUNTBLANK(E15:E60)), _xlfn.TEXTJOIN("&amp;",FALSE(),K15:K60))</f>
        <v>Please complete the assessment to proceed. Remaining questions: 46</v>
      </c>
      <c r="C10" s="28"/>
      <c r="D10" s="27"/>
      <c r="E10" s="26" t="s">
        <v>190</v>
      </c>
      <c r="F10" s="26"/>
      <c r="G10" s="26"/>
      <c r="K10" s="26"/>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row>
    <row r="11" spans="2:53" x14ac:dyDescent="0.35">
      <c r="B11" s="23"/>
    </row>
    <row r="12" spans="2:53" x14ac:dyDescent="0.35">
      <c r="B12" s="24" t="s">
        <v>191</v>
      </c>
    </row>
    <row r="13" spans="2:53" x14ac:dyDescent="0.35">
      <c r="B13" s="23"/>
      <c r="L13" s="4"/>
      <c r="M13" s="4"/>
    </row>
    <row r="14" spans="2:53" ht="46" customHeight="1" x14ac:dyDescent="0.35">
      <c r="B14" s="22" t="s">
        <v>0</v>
      </c>
      <c r="C14" s="22" t="s">
        <v>1</v>
      </c>
      <c r="D14" s="21" t="s">
        <v>192</v>
      </c>
      <c r="E14" s="21" t="s">
        <v>193</v>
      </c>
      <c r="F14" s="21" t="s">
        <v>194</v>
      </c>
      <c r="G14" s="21" t="s">
        <v>195</v>
      </c>
      <c r="H14" s="21" t="s">
        <v>196</v>
      </c>
      <c r="I14" s="21" t="s">
        <v>197</v>
      </c>
      <c r="J14" s="21" t="s">
        <v>198</v>
      </c>
      <c r="K14" s="21" t="s">
        <v>199</v>
      </c>
    </row>
    <row r="15" spans="2:53" ht="42" customHeight="1" x14ac:dyDescent="0.35">
      <c r="B15" s="79" t="s">
        <v>8</v>
      </c>
      <c r="C15" s="79" t="s">
        <v>9</v>
      </c>
      <c r="D15" s="13" t="s">
        <v>200</v>
      </c>
      <c r="E15" s="10"/>
      <c r="F15" s="10"/>
      <c r="G15" s="10"/>
      <c r="H15" s="10">
        <v>1</v>
      </c>
      <c r="I15" s="10">
        <v>1</v>
      </c>
      <c r="J15" s="10" t="str">
        <f t="shared" ref="J15:J60" si="0">_xlfn.CONCAT("Q",I15)</f>
        <v>Q1</v>
      </c>
      <c r="K15" s="9" t="str">
        <f t="shared" ref="K15:K60" si="1">_xlfn.TEXTJOIN(";",FALSE(),J15,E15,H15)</f>
        <v>Q1;;1</v>
      </c>
    </row>
    <row r="16" spans="2:53" ht="42" customHeight="1" x14ac:dyDescent="0.35">
      <c r="B16" s="79"/>
      <c r="C16" s="79"/>
      <c r="D16" s="20" t="s">
        <v>201</v>
      </c>
      <c r="E16" s="6"/>
      <c r="F16" s="6"/>
      <c r="G16" s="6"/>
      <c r="H16" s="6">
        <v>1</v>
      </c>
      <c r="I16" s="6">
        <f t="shared" ref="I16:I60" si="2">I15+1</f>
        <v>2</v>
      </c>
      <c r="J16" s="7" t="str">
        <f t="shared" si="0"/>
        <v>Q2</v>
      </c>
      <c r="K16" s="6" t="str">
        <f t="shared" si="1"/>
        <v>Q2;;1</v>
      </c>
      <c r="L16" s="17"/>
    </row>
    <row r="17" spans="2:12" ht="42" customHeight="1" x14ac:dyDescent="0.35">
      <c r="B17" s="79"/>
      <c r="C17" s="79"/>
      <c r="D17" s="13" t="s">
        <v>202</v>
      </c>
      <c r="E17" s="10"/>
      <c r="F17" s="10"/>
      <c r="G17" s="10"/>
      <c r="H17" s="10">
        <v>1</v>
      </c>
      <c r="I17" s="9">
        <f t="shared" si="2"/>
        <v>3</v>
      </c>
      <c r="J17" s="10" t="str">
        <f t="shared" si="0"/>
        <v>Q3</v>
      </c>
      <c r="K17" s="9" t="str">
        <f t="shared" si="1"/>
        <v>Q3;;1</v>
      </c>
    </row>
    <row r="18" spans="2:12" ht="42" customHeight="1" x14ac:dyDescent="0.35">
      <c r="B18" s="79"/>
      <c r="C18" s="79"/>
      <c r="D18" s="12" t="s">
        <v>203</v>
      </c>
      <c r="E18" s="6"/>
      <c r="F18" s="6"/>
      <c r="G18" s="6"/>
      <c r="H18" s="6">
        <v>1</v>
      </c>
      <c r="I18" s="6">
        <f t="shared" si="2"/>
        <v>4</v>
      </c>
      <c r="J18" s="7" t="str">
        <f t="shared" si="0"/>
        <v>Q4</v>
      </c>
      <c r="K18" s="6" t="str">
        <f t="shared" si="1"/>
        <v>Q4;;1</v>
      </c>
    </row>
    <row r="19" spans="2:12" ht="42" customHeight="1" x14ac:dyDescent="0.35">
      <c r="B19" s="79"/>
      <c r="C19" s="79" t="s">
        <v>25</v>
      </c>
      <c r="D19" s="13" t="s">
        <v>204</v>
      </c>
      <c r="E19" s="10"/>
      <c r="F19" s="10"/>
      <c r="G19" s="10"/>
      <c r="H19" s="10">
        <v>1</v>
      </c>
      <c r="I19" s="9">
        <f t="shared" si="2"/>
        <v>5</v>
      </c>
      <c r="J19" s="10" t="str">
        <f t="shared" si="0"/>
        <v>Q5</v>
      </c>
      <c r="K19" s="9" t="str">
        <f t="shared" si="1"/>
        <v>Q5;;1</v>
      </c>
    </row>
    <row r="20" spans="2:12" ht="60" customHeight="1" x14ac:dyDescent="0.35">
      <c r="B20" s="79"/>
      <c r="C20" s="79"/>
      <c r="D20" s="12" t="s">
        <v>205</v>
      </c>
      <c r="E20" s="6"/>
      <c r="F20" s="6"/>
      <c r="G20" s="6"/>
      <c r="H20" s="6">
        <v>1</v>
      </c>
      <c r="I20" s="6">
        <f t="shared" si="2"/>
        <v>6</v>
      </c>
      <c r="J20" s="7" t="str">
        <f t="shared" si="0"/>
        <v>Q6</v>
      </c>
      <c r="K20" s="6" t="str">
        <f t="shared" si="1"/>
        <v>Q6;;1</v>
      </c>
      <c r="L20" s="19"/>
    </row>
    <row r="21" spans="2:12" ht="42" customHeight="1" x14ac:dyDescent="0.35">
      <c r="B21" s="79" t="s">
        <v>36</v>
      </c>
      <c r="C21" s="79" t="s">
        <v>36</v>
      </c>
      <c r="D21" s="13" t="s">
        <v>206</v>
      </c>
      <c r="E21" s="10"/>
      <c r="F21" s="10"/>
      <c r="G21" s="10"/>
      <c r="H21" s="10">
        <v>1</v>
      </c>
      <c r="I21" s="9">
        <f t="shared" si="2"/>
        <v>7</v>
      </c>
      <c r="J21" s="10" t="str">
        <f t="shared" si="0"/>
        <v>Q7</v>
      </c>
      <c r="K21" s="9" t="str">
        <f t="shared" si="1"/>
        <v>Q7;;1</v>
      </c>
    </row>
    <row r="22" spans="2:12" ht="42" customHeight="1" x14ac:dyDescent="0.35">
      <c r="B22" s="79"/>
      <c r="C22" s="79"/>
      <c r="D22" s="18" t="s">
        <v>207</v>
      </c>
      <c r="E22" s="6"/>
      <c r="F22" s="6"/>
      <c r="G22" s="6"/>
      <c r="H22" s="6">
        <v>1</v>
      </c>
      <c r="I22" s="6">
        <f t="shared" si="2"/>
        <v>8</v>
      </c>
      <c r="J22" s="7" t="str">
        <f t="shared" si="0"/>
        <v>Q8</v>
      </c>
      <c r="K22" s="6" t="str">
        <f t="shared" si="1"/>
        <v>Q8;;1</v>
      </c>
    </row>
    <row r="23" spans="2:12" ht="42" customHeight="1" x14ac:dyDescent="0.35">
      <c r="B23" s="79"/>
      <c r="C23" s="79"/>
      <c r="D23" s="13" t="s">
        <v>208</v>
      </c>
      <c r="E23" s="10"/>
      <c r="F23" s="10"/>
      <c r="G23" s="10"/>
      <c r="H23" s="10">
        <v>1</v>
      </c>
      <c r="I23" s="9">
        <f t="shared" si="2"/>
        <v>9</v>
      </c>
      <c r="J23" s="10" t="str">
        <f t="shared" si="0"/>
        <v>Q9</v>
      </c>
      <c r="K23" s="9" t="str">
        <f t="shared" si="1"/>
        <v>Q9;;1</v>
      </c>
      <c r="L23" s="17"/>
    </row>
    <row r="24" spans="2:12" ht="42" customHeight="1" x14ac:dyDescent="0.35">
      <c r="B24" s="79"/>
      <c r="C24" s="79"/>
      <c r="D24" s="12" t="s">
        <v>209</v>
      </c>
      <c r="E24" s="6"/>
      <c r="F24" s="6"/>
      <c r="G24" s="6"/>
      <c r="H24" s="6">
        <v>1</v>
      </c>
      <c r="I24" s="6">
        <f t="shared" si="2"/>
        <v>10</v>
      </c>
      <c r="J24" s="7" t="str">
        <f t="shared" si="0"/>
        <v>Q10</v>
      </c>
      <c r="K24" s="6" t="str">
        <f t="shared" si="1"/>
        <v>Q10;;1</v>
      </c>
    </row>
    <row r="25" spans="2:12" ht="42" customHeight="1" x14ac:dyDescent="0.35">
      <c r="B25" s="79" t="s">
        <v>57</v>
      </c>
      <c r="C25" s="79" t="s">
        <v>58</v>
      </c>
      <c r="D25" s="13" t="s">
        <v>210</v>
      </c>
      <c r="E25" s="10"/>
      <c r="F25" s="10"/>
      <c r="G25" s="10"/>
      <c r="H25" s="10">
        <v>1</v>
      </c>
      <c r="I25" s="9">
        <f t="shared" si="2"/>
        <v>11</v>
      </c>
      <c r="J25" s="10" t="str">
        <f t="shared" si="0"/>
        <v>Q11</v>
      </c>
      <c r="K25" s="9" t="str">
        <f t="shared" si="1"/>
        <v>Q11;;1</v>
      </c>
    </row>
    <row r="26" spans="2:12" ht="42" customHeight="1" x14ac:dyDescent="0.35">
      <c r="B26" s="79"/>
      <c r="C26" s="79"/>
      <c r="D26" s="12" t="s">
        <v>211</v>
      </c>
      <c r="E26" s="6"/>
      <c r="F26" s="6"/>
      <c r="G26" s="6"/>
      <c r="H26" s="6">
        <v>1</v>
      </c>
      <c r="I26" s="6">
        <f t="shared" si="2"/>
        <v>12</v>
      </c>
      <c r="J26" s="7" t="str">
        <f t="shared" si="0"/>
        <v>Q12</v>
      </c>
      <c r="K26" s="6" t="str">
        <f t="shared" si="1"/>
        <v>Q12;;1</v>
      </c>
    </row>
    <row r="27" spans="2:12" ht="42" customHeight="1" x14ac:dyDescent="0.35">
      <c r="B27" s="79"/>
      <c r="C27" s="79"/>
      <c r="D27" s="13" t="s">
        <v>212</v>
      </c>
      <c r="E27" s="10"/>
      <c r="F27" s="10"/>
      <c r="G27" s="10"/>
      <c r="H27" s="10">
        <v>1</v>
      </c>
      <c r="I27" s="9">
        <f t="shared" si="2"/>
        <v>13</v>
      </c>
      <c r="J27" s="10" t="str">
        <f t="shared" si="0"/>
        <v>Q13</v>
      </c>
      <c r="K27" s="9" t="str">
        <f t="shared" si="1"/>
        <v>Q13;;1</v>
      </c>
    </row>
    <row r="28" spans="2:12" ht="42" customHeight="1" x14ac:dyDescent="0.35">
      <c r="B28" s="79"/>
      <c r="C28" s="79"/>
      <c r="D28" s="12" t="s">
        <v>213</v>
      </c>
      <c r="E28" s="6"/>
      <c r="F28" s="6"/>
      <c r="G28" s="6"/>
      <c r="H28" s="6">
        <v>1</v>
      </c>
      <c r="I28" s="6">
        <f t="shared" si="2"/>
        <v>14</v>
      </c>
      <c r="J28" s="7" t="str">
        <f t="shared" si="0"/>
        <v>Q14</v>
      </c>
      <c r="K28" s="6" t="str">
        <f t="shared" si="1"/>
        <v>Q14;;1</v>
      </c>
      <c r="L28" s="17"/>
    </row>
    <row r="29" spans="2:12" ht="42" customHeight="1" x14ac:dyDescent="0.35">
      <c r="B29" s="79"/>
      <c r="C29" s="79" t="s">
        <v>245</v>
      </c>
      <c r="D29" s="13" t="s">
        <v>246</v>
      </c>
      <c r="E29" s="10"/>
      <c r="F29" s="10"/>
      <c r="G29" s="10"/>
      <c r="H29" s="10">
        <v>1</v>
      </c>
      <c r="I29" s="9">
        <f t="shared" si="2"/>
        <v>15</v>
      </c>
      <c r="J29" s="10" t="str">
        <f t="shared" si="0"/>
        <v>Q15</v>
      </c>
      <c r="K29" s="9" t="str">
        <f t="shared" si="1"/>
        <v>Q15;;1</v>
      </c>
    </row>
    <row r="30" spans="2:12" ht="42" customHeight="1" x14ac:dyDescent="0.35">
      <c r="B30" s="79"/>
      <c r="C30" s="79"/>
      <c r="D30" s="82" t="s">
        <v>247</v>
      </c>
      <c r="E30" s="6"/>
      <c r="F30" s="6"/>
      <c r="G30" s="6"/>
      <c r="H30" s="6">
        <v>1</v>
      </c>
      <c r="I30" s="6">
        <f t="shared" si="2"/>
        <v>16</v>
      </c>
      <c r="J30" s="7" t="str">
        <f t="shared" si="0"/>
        <v>Q16</v>
      </c>
      <c r="K30" s="6" t="str">
        <f t="shared" si="1"/>
        <v>Q16;;1</v>
      </c>
    </row>
    <row r="31" spans="2:12" ht="42" customHeight="1" x14ac:dyDescent="0.35">
      <c r="B31" s="79"/>
      <c r="C31" s="79"/>
      <c r="D31" s="13" t="s">
        <v>214</v>
      </c>
      <c r="E31" s="10"/>
      <c r="F31" s="10"/>
      <c r="G31" s="10"/>
      <c r="H31" s="10">
        <v>1</v>
      </c>
      <c r="I31" s="9">
        <f t="shared" si="2"/>
        <v>17</v>
      </c>
      <c r="J31" s="10" t="str">
        <f t="shared" si="0"/>
        <v>Q17</v>
      </c>
      <c r="K31" s="9" t="str">
        <f t="shared" si="1"/>
        <v>Q17;;1</v>
      </c>
      <c r="L31" s="16"/>
    </row>
    <row r="32" spans="2:12" ht="42" customHeight="1" x14ac:dyDescent="0.35">
      <c r="B32" s="79"/>
      <c r="C32" s="79" t="s">
        <v>74</v>
      </c>
      <c r="D32" s="12" t="s">
        <v>215</v>
      </c>
      <c r="E32" s="6"/>
      <c r="F32" s="6"/>
      <c r="G32" s="6"/>
      <c r="H32" s="6">
        <v>0.25</v>
      </c>
      <c r="I32" s="6">
        <f t="shared" si="2"/>
        <v>18</v>
      </c>
      <c r="J32" s="7" t="str">
        <f t="shared" si="0"/>
        <v>Q18</v>
      </c>
      <c r="K32" s="6" t="str">
        <f t="shared" si="1"/>
        <v>Q18;;0.25</v>
      </c>
    </row>
    <row r="33" spans="2:11" ht="42" customHeight="1" x14ac:dyDescent="0.35">
      <c r="B33" s="79"/>
      <c r="C33" s="79"/>
      <c r="D33" s="14" t="s">
        <v>216</v>
      </c>
      <c r="E33" s="10"/>
      <c r="F33" s="10"/>
      <c r="G33" s="10"/>
      <c r="H33" s="10">
        <v>0.25</v>
      </c>
      <c r="I33" s="9">
        <f t="shared" si="2"/>
        <v>19</v>
      </c>
      <c r="J33" s="10" t="str">
        <f t="shared" si="0"/>
        <v>Q19</v>
      </c>
      <c r="K33" s="9" t="str">
        <f t="shared" si="1"/>
        <v>Q19;;0.25</v>
      </c>
    </row>
    <row r="34" spans="2:11" ht="42" customHeight="1" x14ac:dyDescent="0.35">
      <c r="B34" s="79"/>
      <c r="C34" s="79"/>
      <c r="D34" s="15" t="s">
        <v>217</v>
      </c>
      <c r="E34" s="6"/>
      <c r="F34" s="6"/>
      <c r="G34" s="6"/>
      <c r="H34" s="6">
        <v>0.25</v>
      </c>
      <c r="I34" s="6">
        <f t="shared" si="2"/>
        <v>20</v>
      </c>
      <c r="J34" s="7" t="str">
        <f t="shared" si="0"/>
        <v>Q20</v>
      </c>
      <c r="K34" s="6" t="str">
        <f t="shared" si="1"/>
        <v>Q20;;0.25</v>
      </c>
    </row>
    <row r="35" spans="2:11" ht="42" customHeight="1" x14ac:dyDescent="0.35">
      <c r="B35" s="79"/>
      <c r="C35" s="79"/>
      <c r="D35" s="14" t="s">
        <v>218</v>
      </c>
      <c r="E35" s="10"/>
      <c r="F35" s="10"/>
      <c r="G35" s="10"/>
      <c r="H35" s="10">
        <v>0.25</v>
      </c>
      <c r="I35" s="9">
        <f t="shared" si="2"/>
        <v>21</v>
      </c>
      <c r="J35" s="10" t="str">
        <f t="shared" si="0"/>
        <v>Q21</v>
      </c>
      <c r="K35" s="9" t="str">
        <f t="shared" si="1"/>
        <v>Q21;;0.25</v>
      </c>
    </row>
    <row r="36" spans="2:11" ht="42" customHeight="1" x14ac:dyDescent="0.35">
      <c r="B36" s="79"/>
      <c r="C36" s="79"/>
      <c r="D36" s="12" t="s">
        <v>219</v>
      </c>
      <c r="E36" s="6"/>
      <c r="F36" s="6"/>
      <c r="G36" s="6"/>
      <c r="H36" s="6">
        <v>1</v>
      </c>
      <c r="I36" s="6">
        <f t="shared" si="2"/>
        <v>22</v>
      </c>
      <c r="J36" s="7" t="str">
        <f t="shared" si="0"/>
        <v>Q22</v>
      </c>
      <c r="K36" s="6" t="str">
        <f t="shared" si="1"/>
        <v>Q22;;1</v>
      </c>
    </row>
    <row r="37" spans="2:11" ht="42" customHeight="1" x14ac:dyDescent="0.35">
      <c r="B37" s="79"/>
      <c r="C37" s="79"/>
      <c r="D37" s="13" t="s">
        <v>220</v>
      </c>
      <c r="E37" s="10"/>
      <c r="F37" s="10"/>
      <c r="G37" s="10"/>
      <c r="H37" s="10">
        <v>1</v>
      </c>
      <c r="I37" s="9">
        <f t="shared" si="2"/>
        <v>23</v>
      </c>
      <c r="J37" s="10" t="str">
        <f t="shared" si="0"/>
        <v>Q23</v>
      </c>
      <c r="K37" s="9" t="str">
        <f t="shared" si="1"/>
        <v>Q23;;1</v>
      </c>
    </row>
    <row r="38" spans="2:11" ht="42" customHeight="1" x14ac:dyDescent="0.35">
      <c r="B38" s="79"/>
      <c r="C38" s="79"/>
      <c r="D38" s="12" t="s">
        <v>221</v>
      </c>
      <c r="E38" s="6"/>
      <c r="F38" s="6"/>
      <c r="G38" s="6"/>
      <c r="H38" s="6">
        <v>1</v>
      </c>
      <c r="I38" s="6">
        <f t="shared" si="2"/>
        <v>24</v>
      </c>
      <c r="J38" s="7" t="str">
        <f t="shared" si="0"/>
        <v>Q24</v>
      </c>
      <c r="K38" s="6" t="str">
        <f t="shared" si="1"/>
        <v>Q24;;1</v>
      </c>
    </row>
    <row r="39" spans="2:11" ht="42" customHeight="1" x14ac:dyDescent="0.35">
      <c r="B39" s="79"/>
      <c r="C39" s="79"/>
      <c r="D39" s="13" t="s">
        <v>222</v>
      </c>
      <c r="E39" s="10"/>
      <c r="F39" s="10"/>
      <c r="G39" s="10"/>
      <c r="H39" s="10">
        <v>1</v>
      </c>
      <c r="I39" s="9">
        <f t="shared" si="2"/>
        <v>25</v>
      </c>
      <c r="J39" s="10" t="str">
        <f t="shared" si="0"/>
        <v>Q25</v>
      </c>
      <c r="K39" s="9" t="str">
        <f t="shared" si="1"/>
        <v>Q25;;1</v>
      </c>
    </row>
    <row r="40" spans="2:11" ht="42" customHeight="1" x14ac:dyDescent="0.35">
      <c r="B40" s="79"/>
      <c r="C40" s="79"/>
      <c r="D40" s="12" t="s">
        <v>223</v>
      </c>
      <c r="E40" s="6"/>
      <c r="F40" s="6"/>
      <c r="G40" s="6"/>
      <c r="H40" s="6">
        <v>1</v>
      </c>
      <c r="I40" s="6">
        <f t="shared" si="2"/>
        <v>26</v>
      </c>
      <c r="J40" s="7" t="str">
        <f t="shared" si="0"/>
        <v>Q26</v>
      </c>
      <c r="K40" s="6" t="str">
        <f t="shared" si="1"/>
        <v>Q26;;1</v>
      </c>
    </row>
    <row r="41" spans="2:11" ht="42" customHeight="1" x14ac:dyDescent="0.35">
      <c r="B41" s="78" t="s">
        <v>90</v>
      </c>
      <c r="C41" s="79" t="s">
        <v>91</v>
      </c>
      <c r="D41" s="11" t="s">
        <v>224</v>
      </c>
      <c r="E41" s="10"/>
      <c r="F41" s="10"/>
      <c r="G41" s="10"/>
      <c r="H41" s="9">
        <v>1</v>
      </c>
      <c r="I41" s="9">
        <f t="shared" si="2"/>
        <v>27</v>
      </c>
      <c r="J41" s="10" t="str">
        <f t="shared" si="0"/>
        <v>Q27</v>
      </c>
      <c r="K41" s="9" t="str">
        <f t="shared" si="1"/>
        <v>Q27;;1</v>
      </c>
    </row>
    <row r="42" spans="2:11" ht="42" customHeight="1" x14ac:dyDescent="0.35">
      <c r="B42" s="78"/>
      <c r="C42" s="79"/>
      <c r="D42" s="8" t="s">
        <v>225</v>
      </c>
      <c r="E42" s="6"/>
      <c r="F42" s="6"/>
      <c r="G42" s="6"/>
      <c r="H42" s="7">
        <v>1</v>
      </c>
      <c r="I42" s="6">
        <f t="shared" si="2"/>
        <v>28</v>
      </c>
      <c r="J42" s="7" t="str">
        <f t="shared" si="0"/>
        <v>Q28</v>
      </c>
      <c r="K42" s="6" t="str">
        <f t="shared" si="1"/>
        <v>Q28;;1</v>
      </c>
    </row>
    <row r="43" spans="2:11" ht="42" customHeight="1" x14ac:dyDescent="0.35">
      <c r="B43" s="78"/>
      <c r="C43" s="79"/>
      <c r="D43" s="11" t="s">
        <v>226</v>
      </c>
      <c r="E43" s="10"/>
      <c r="F43" s="10"/>
      <c r="G43" s="10"/>
      <c r="H43" s="9">
        <v>1</v>
      </c>
      <c r="I43" s="9">
        <f t="shared" si="2"/>
        <v>29</v>
      </c>
      <c r="J43" s="10" t="str">
        <f t="shared" si="0"/>
        <v>Q29</v>
      </c>
      <c r="K43" s="9" t="str">
        <f t="shared" si="1"/>
        <v>Q29;;1</v>
      </c>
    </row>
    <row r="44" spans="2:11" ht="42" customHeight="1" x14ac:dyDescent="0.35">
      <c r="B44" s="78"/>
      <c r="C44" s="79" t="s">
        <v>102</v>
      </c>
      <c r="D44" s="8" t="s">
        <v>227</v>
      </c>
      <c r="E44" s="6"/>
      <c r="F44" s="6"/>
      <c r="G44" s="6"/>
      <c r="H44" s="7">
        <v>1</v>
      </c>
      <c r="I44" s="6">
        <f t="shared" si="2"/>
        <v>30</v>
      </c>
      <c r="J44" s="7" t="str">
        <f t="shared" si="0"/>
        <v>Q30</v>
      </c>
      <c r="K44" s="6" t="str">
        <f t="shared" si="1"/>
        <v>Q30;;1</v>
      </c>
    </row>
    <row r="45" spans="2:11" ht="42" customHeight="1" x14ac:dyDescent="0.35">
      <c r="B45" s="78"/>
      <c r="C45" s="79"/>
      <c r="D45" s="11" t="s">
        <v>228</v>
      </c>
      <c r="E45" s="10"/>
      <c r="F45" s="10"/>
      <c r="G45" s="10"/>
      <c r="H45" s="9">
        <v>1</v>
      </c>
      <c r="I45" s="9">
        <f t="shared" si="2"/>
        <v>31</v>
      </c>
      <c r="J45" s="10" t="str">
        <f t="shared" si="0"/>
        <v>Q31</v>
      </c>
      <c r="K45" s="9" t="str">
        <f t="shared" si="1"/>
        <v>Q31;;1</v>
      </c>
    </row>
    <row r="46" spans="2:11" ht="42" customHeight="1" x14ac:dyDescent="0.35">
      <c r="B46" s="78"/>
      <c r="C46" s="79"/>
      <c r="D46" s="8" t="s">
        <v>229</v>
      </c>
      <c r="E46" s="6"/>
      <c r="F46" s="6"/>
      <c r="G46" s="6"/>
      <c r="H46" s="7">
        <v>1</v>
      </c>
      <c r="I46" s="6">
        <f t="shared" si="2"/>
        <v>32</v>
      </c>
      <c r="J46" s="7" t="str">
        <f t="shared" si="0"/>
        <v>Q32</v>
      </c>
      <c r="K46" s="6" t="str">
        <f t="shared" si="1"/>
        <v>Q32;;1</v>
      </c>
    </row>
    <row r="47" spans="2:11" ht="42" customHeight="1" x14ac:dyDescent="0.35">
      <c r="B47" s="78"/>
      <c r="C47" s="79"/>
      <c r="D47" s="11" t="s">
        <v>230</v>
      </c>
      <c r="E47" s="10"/>
      <c r="F47" s="10"/>
      <c r="G47" s="10"/>
      <c r="H47" s="9">
        <v>1</v>
      </c>
      <c r="I47" s="9">
        <f t="shared" si="2"/>
        <v>33</v>
      </c>
      <c r="J47" s="10" t="str">
        <f t="shared" si="0"/>
        <v>Q33</v>
      </c>
      <c r="K47" s="9" t="str">
        <f t="shared" si="1"/>
        <v>Q33;;1</v>
      </c>
    </row>
    <row r="48" spans="2:11" ht="42" customHeight="1" x14ac:dyDescent="0.35">
      <c r="B48" s="78"/>
      <c r="C48" s="79" t="s">
        <v>117</v>
      </c>
      <c r="D48" s="8" t="s">
        <v>231</v>
      </c>
      <c r="E48" s="6"/>
      <c r="F48" s="6"/>
      <c r="G48" s="6"/>
      <c r="H48" s="7">
        <v>1</v>
      </c>
      <c r="I48" s="6">
        <f t="shared" si="2"/>
        <v>34</v>
      </c>
      <c r="J48" s="7" t="str">
        <f t="shared" si="0"/>
        <v>Q34</v>
      </c>
      <c r="K48" s="6" t="str">
        <f t="shared" si="1"/>
        <v>Q34;;1</v>
      </c>
    </row>
    <row r="49" spans="2:11" ht="42" customHeight="1" x14ac:dyDescent="0.35">
      <c r="B49" s="78"/>
      <c r="C49" s="79"/>
      <c r="D49" s="11" t="s">
        <v>232</v>
      </c>
      <c r="E49" s="10"/>
      <c r="F49" s="10"/>
      <c r="G49" s="10"/>
      <c r="H49" s="9">
        <v>1</v>
      </c>
      <c r="I49" s="9">
        <f t="shared" si="2"/>
        <v>35</v>
      </c>
      <c r="J49" s="10" t="str">
        <f t="shared" si="0"/>
        <v>Q35</v>
      </c>
      <c r="K49" s="9" t="str">
        <f t="shared" si="1"/>
        <v>Q35;;1</v>
      </c>
    </row>
    <row r="50" spans="2:11" ht="42" customHeight="1" x14ac:dyDescent="0.35">
      <c r="B50" s="78"/>
      <c r="C50" s="79"/>
      <c r="D50" s="8" t="s">
        <v>233</v>
      </c>
      <c r="E50" s="6"/>
      <c r="F50" s="6"/>
      <c r="G50" s="6"/>
      <c r="H50" s="7">
        <v>1</v>
      </c>
      <c r="I50" s="6">
        <f t="shared" si="2"/>
        <v>36</v>
      </c>
      <c r="J50" s="7" t="str">
        <f t="shared" si="0"/>
        <v>Q36</v>
      </c>
      <c r="K50" s="6" t="str">
        <f t="shared" si="1"/>
        <v>Q36;;1</v>
      </c>
    </row>
    <row r="51" spans="2:11" ht="42" customHeight="1" x14ac:dyDescent="0.35">
      <c r="B51" s="78" t="s">
        <v>133</v>
      </c>
      <c r="C51" s="79" t="s">
        <v>134</v>
      </c>
      <c r="D51" s="11" t="s">
        <v>234</v>
      </c>
      <c r="E51" s="10"/>
      <c r="F51" s="10"/>
      <c r="G51" s="10"/>
      <c r="H51" s="9">
        <v>1</v>
      </c>
      <c r="I51" s="9">
        <f t="shared" si="2"/>
        <v>37</v>
      </c>
      <c r="J51" s="10" t="str">
        <f t="shared" si="0"/>
        <v>Q37</v>
      </c>
      <c r="K51" s="9" t="str">
        <f t="shared" si="1"/>
        <v>Q37;;1</v>
      </c>
    </row>
    <row r="52" spans="2:11" ht="42" customHeight="1" x14ac:dyDescent="0.35">
      <c r="B52" s="78"/>
      <c r="C52" s="79"/>
      <c r="D52" s="8" t="s">
        <v>235</v>
      </c>
      <c r="E52" s="6"/>
      <c r="F52" s="6"/>
      <c r="G52" s="6"/>
      <c r="H52" s="7">
        <v>1</v>
      </c>
      <c r="I52" s="6">
        <f t="shared" si="2"/>
        <v>38</v>
      </c>
      <c r="J52" s="7" t="str">
        <f t="shared" si="0"/>
        <v>Q38</v>
      </c>
      <c r="K52" s="6" t="str">
        <f t="shared" si="1"/>
        <v>Q38;;1</v>
      </c>
    </row>
    <row r="53" spans="2:11" ht="42" customHeight="1" x14ac:dyDescent="0.35">
      <c r="B53" s="78"/>
      <c r="C53" s="79"/>
      <c r="D53" s="11" t="s">
        <v>236</v>
      </c>
      <c r="E53" s="10"/>
      <c r="F53" s="10"/>
      <c r="G53" s="10"/>
      <c r="H53" s="9">
        <v>1</v>
      </c>
      <c r="I53" s="9">
        <f t="shared" si="2"/>
        <v>39</v>
      </c>
      <c r="J53" s="10" t="str">
        <f t="shared" si="0"/>
        <v>Q39</v>
      </c>
      <c r="K53" s="9" t="str">
        <f t="shared" si="1"/>
        <v>Q39;;1</v>
      </c>
    </row>
    <row r="54" spans="2:11" ht="42" customHeight="1" x14ac:dyDescent="0.35">
      <c r="B54" s="78"/>
      <c r="C54" s="79"/>
      <c r="D54" s="8" t="s">
        <v>237</v>
      </c>
      <c r="E54" s="6"/>
      <c r="F54" s="6"/>
      <c r="G54" s="6"/>
      <c r="H54" s="7">
        <v>1</v>
      </c>
      <c r="I54" s="6">
        <f t="shared" si="2"/>
        <v>40</v>
      </c>
      <c r="J54" s="7" t="str">
        <f t="shared" si="0"/>
        <v>Q40</v>
      </c>
      <c r="K54" s="6" t="str">
        <f t="shared" si="1"/>
        <v>Q40;;1</v>
      </c>
    </row>
    <row r="55" spans="2:11" ht="42" customHeight="1" x14ac:dyDescent="0.35">
      <c r="B55" s="78"/>
      <c r="C55" s="79" t="s">
        <v>150</v>
      </c>
      <c r="D55" s="11" t="s">
        <v>238</v>
      </c>
      <c r="E55" s="10"/>
      <c r="F55" s="10"/>
      <c r="G55" s="10"/>
      <c r="H55" s="9">
        <v>1</v>
      </c>
      <c r="I55" s="9">
        <f t="shared" si="2"/>
        <v>41</v>
      </c>
      <c r="J55" s="10" t="str">
        <f t="shared" si="0"/>
        <v>Q41</v>
      </c>
      <c r="K55" s="9" t="str">
        <f t="shared" si="1"/>
        <v>Q41;;1</v>
      </c>
    </row>
    <row r="56" spans="2:11" ht="42" customHeight="1" x14ac:dyDescent="0.35">
      <c r="B56" s="78"/>
      <c r="C56" s="79"/>
      <c r="D56" s="8" t="s">
        <v>239</v>
      </c>
      <c r="E56" s="6"/>
      <c r="F56" s="6"/>
      <c r="G56" s="6"/>
      <c r="H56" s="7">
        <v>1</v>
      </c>
      <c r="I56" s="6">
        <f t="shared" si="2"/>
        <v>42</v>
      </c>
      <c r="J56" s="7" t="str">
        <f t="shared" si="0"/>
        <v>Q42</v>
      </c>
      <c r="K56" s="6" t="str">
        <f t="shared" si="1"/>
        <v>Q42;;1</v>
      </c>
    </row>
    <row r="57" spans="2:11" ht="42" customHeight="1" x14ac:dyDescent="0.35">
      <c r="B57" s="78"/>
      <c r="C57" s="79"/>
      <c r="D57" s="11" t="s">
        <v>240</v>
      </c>
      <c r="E57" s="10"/>
      <c r="F57" s="10"/>
      <c r="G57" s="10"/>
      <c r="H57" s="9">
        <v>1</v>
      </c>
      <c r="I57" s="9">
        <f t="shared" si="2"/>
        <v>43</v>
      </c>
      <c r="J57" s="10" t="str">
        <f t="shared" si="0"/>
        <v>Q43</v>
      </c>
      <c r="K57" s="9" t="str">
        <f t="shared" si="1"/>
        <v>Q43;;1</v>
      </c>
    </row>
    <row r="58" spans="2:11" ht="42" customHeight="1" x14ac:dyDescent="0.35">
      <c r="B58" s="78" t="s">
        <v>161</v>
      </c>
      <c r="C58" s="78" t="s">
        <v>161</v>
      </c>
      <c r="D58" s="8" t="s">
        <v>241</v>
      </c>
      <c r="E58" s="6"/>
      <c r="F58" s="6"/>
      <c r="G58" s="6"/>
      <c r="H58" s="7">
        <v>1</v>
      </c>
      <c r="I58" s="6">
        <f t="shared" si="2"/>
        <v>44</v>
      </c>
      <c r="J58" s="7" t="str">
        <f t="shared" si="0"/>
        <v>Q44</v>
      </c>
      <c r="K58" s="6" t="str">
        <f t="shared" si="1"/>
        <v>Q44;;1</v>
      </c>
    </row>
    <row r="59" spans="2:11" ht="42" customHeight="1" x14ac:dyDescent="0.35">
      <c r="B59" s="78"/>
      <c r="C59" s="78"/>
      <c r="D59" s="11" t="s">
        <v>242</v>
      </c>
      <c r="E59" s="10"/>
      <c r="F59" s="10"/>
      <c r="G59" s="10"/>
      <c r="H59" s="9">
        <v>1</v>
      </c>
      <c r="I59" s="9">
        <f t="shared" si="2"/>
        <v>45</v>
      </c>
      <c r="J59" s="10" t="str">
        <f t="shared" si="0"/>
        <v>Q45</v>
      </c>
      <c r="K59" s="9" t="str">
        <f t="shared" si="1"/>
        <v>Q45;;1</v>
      </c>
    </row>
    <row r="60" spans="2:11" ht="42" customHeight="1" x14ac:dyDescent="0.35">
      <c r="B60" s="78"/>
      <c r="C60" s="78"/>
      <c r="D60" s="8" t="s">
        <v>243</v>
      </c>
      <c r="E60" s="6"/>
      <c r="F60" s="6"/>
      <c r="G60" s="6"/>
      <c r="H60" s="7">
        <v>1</v>
      </c>
      <c r="I60" s="6">
        <f t="shared" si="2"/>
        <v>46</v>
      </c>
      <c r="J60" s="7" t="str">
        <f t="shared" si="0"/>
        <v>Q46</v>
      </c>
      <c r="K60" s="6" t="str">
        <f t="shared" si="1"/>
        <v>Q46;;1</v>
      </c>
    </row>
    <row r="61" spans="2:11" ht="28.5" customHeight="1" x14ac:dyDescent="0.35"/>
    <row r="62" spans="2:11" ht="28.5" customHeight="1" x14ac:dyDescent="0.35"/>
    <row r="63" spans="2:11" ht="28.5" customHeight="1" x14ac:dyDescent="0.35"/>
    <row r="64" spans="2:11" ht="28.5" customHeight="1" x14ac:dyDescent="0.35"/>
    <row r="65" ht="28.5" customHeight="1" x14ac:dyDescent="0.35"/>
    <row r="66" ht="28.5" customHeight="1" x14ac:dyDescent="0.35"/>
    <row r="67" ht="28.5" customHeight="1" x14ac:dyDescent="0.35"/>
    <row r="68" ht="28.5" customHeight="1" x14ac:dyDescent="0.35"/>
    <row r="69" ht="28.5" customHeight="1" x14ac:dyDescent="0.35"/>
    <row r="70" ht="28.5" customHeight="1" x14ac:dyDescent="0.35"/>
    <row r="71" ht="28.5" customHeight="1" x14ac:dyDescent="0.35"/>
    <row r="72" ht="28.5" customHeight="1" x14ac:dyDescent="0.35"/>
    <row r="73" ht="28.5" customHeight="1" x14ac:dyDescent="0.35"/>
    <row r="74" ht="28.5" customHeight="1" x14ac:dyDescent="0.35"/>
    <row r="75" ht="28.5" customHeight="1" x14ac:dyDescent="0.35"/>
    <row r="76" ht="28.5" customHeight="1" x14ac:dyDescent="0.35"/>
    <row r="77" ht="28.5" customHeight="1" x14ac:dyDescent="0.35"/>
    <row r="78" ht="28.5" customHeight="1" x14ac:dyDescent="0.35"/>
    <row r="79" ht="28.5" customHeight="1" x14ac:dyDescent="0.35"/>
    <row r="80" ht="28.5" customHeight="1" x14ac:dyDescent="0.35"/>
    <row r="81" ht="28.5" customHeight="1" x14ac:dyDescent="0.35"/>
    <row r="82" ht="28.5" customHeight="1" x14ac:dyDescent="0.35"/>
    <row r="83" ht="28.5" customHeight="1" x14ac:dyDescent="0.35"/>
    <row r="84" ht="28.5" customHeight="1" x14ac:dyDescent="0.35"/>
    <row r="85" ht="28.5" customHeight="1" x14ac:dyDescent="0.35"/>
    <row r="86" ht="28.5" customHeight="1" x14ac:dyDescent="0.35"/>
    <row r="87" ht="28.5" customHeight="1" x14ac:dyDescent="0.35"/>
    <row r="88" ht="28.5" customHeight="1" x14ac:dyDescent="0.35"/>
    <row r="89" ht="28.5" customHeight="1" x14ac:dyDescent="0.35"/>
    <row r="90" ht="28.5" customHeight="1" x14ac:dyDescent="0.35"/>
    <row r="91" ht="28.5" customHeight="1" x14ac:dyDescent="0.35"/>
    <row r="92" ht="28.5" customHeight="1" x14ac:dyDescent="0.35"/>
    <row r="93" ht="28.5" customHeight="1" x14ac:dyDescent="0.35"/>
    <row r="94" ht="28.5" customHeight="1" x14ac:dyDescent="0.35"/>
    <row r="95" ht="28.5" customHeight="1" x14ac:dyDescent="0.35"/>
    <row r="96" ht="28.5" customHeight="1" x14ac:dyDescent="0.35"/>
    <row r="97" ht="28.5" customHeight="1" x14ac:dyDescent="0.35"/>
    <row r="98" ht="28.5" customHeight="1" x14ac:dyDescent="0.35"/>
    <row r="99" ht="28.5" customHeight="1" x14ac:dyDescent="0.35"/>
    <row r="100" ht="28.5" customHeight="1" x14ac:dyDescent="0.35"/>
    <row r="101" ht="28.5" customHeight="1" x14ac:dyDescent="0.35"/>
    <row r="102" ht="28.5" customHeight="1" x14ac:dyDescent="0.35"/>
    <row r="103" ht="28.5" customHeight="1" x14ac:dyDescent="0.35"/>
    <row r="104" ht="28.5" customHeight="1" x14ac:dyDescent="0.35"/>
    <row r="105" ht="28.5" customHeight="1" x14ac:dyDescent="0.35"/>
    <row r="106" ht="28.5" customHeight="1" x14ac:dyDescent="0.35"/>
    <row r="107" ht="28.5" customHeight="1" x14ac:dyDescent="0.35"/>
    <row r="108" ht="28.5" customHeight="1" x14ac:dyDescent="0.35"/>
    <row r="109" ht="28.5" customHeight="1" x14ac:dyDescent="0.35"/>
    <row r="110" ht="28.5" customHeight="1" x14ac:dyDescent="0.35"/>
    <row r="111" ht="28.5" customHeight="1" x14ac:dyDescent="0.35"/>
    <row r="112" ht="28.5" customHeight="1" x14ac:dyDescent="0.35"/>
    <row r="113" ht="28.5" customHeight="1" x14ac:dyDescent="0.35"/>
    <row r="114" ht="28.5" customHeight="1" x14ac:dyDescent="0.35"/>
    <row r="115" ht="28.5" customHeight="1" x14ac:dyDescent="0.35"/>
    <row r="116" ht="28.5" customHeight="1" x14ac:dyDescent="0.35"/>
    <row r="117" ht="28.5" customHeight="1" x14ac:dyDescent="0.35"/>
    <row r="118" ht="28.5" customHeight="1" x14ac:dyDescent="0.35"/>
    <row r="119" ht="28.5" customHeight="1" x14ac:dyDescent="0.35"/>
    <row r="120" ht="28.5" customHeight="1" x14ac:dyDescent="0.35"/>
    <row r="121" ht="28.5" customHeight="1" x14ac:dyDescent="0.35"/>
    <row r="122" ht="28.5" customHeight="1" x14ac:dyDescent="0.35"/>
    <row r="123" ht="28.5" customHeight="1" x14ac:dyDescent="0.35"/>
    <row r="124" ht="28.5" customHeight="1" x14ac:dyDescent="0.35"/>
    <row r="125" ht="28.5" customHeight="1" x14ac:dyDescent="0.35"/>
    <row r="126" ht="28.5" customHeight="1" x14ac:dyDescent="0.35"/>
    <row r="127" ht="28.5" customHeight="1" x14ac:dyDescent="0.35"/>
    <row r="128" ht="28.5" customHeight="1" x14ac:dyDescent="0.35"/>
    <row r="129" ht="28.5" customHeight="1" x14ac:dyDescent="0.35"/>
    <row r="130" ht="28.5" customHeight="1" x14ac:dyDescent="0.35"/>
    <row r="131" ht="28.5" customHeight="1" x14ac:dyDescent="0.35"/>
    <row r="132" ht="28.5" customHeight="1" x14ac:dyDescent="0.35"/>
    <row r="133" ht="28.5" customHeight="1" x14ac:dyDescent="0.35"/>
    <row r="134" ht="28.5" customHeight="1" x14ac:dyDescent="0.35"/>
    <row r="135" ht="28.5" customHeight="1" x14ac:dyDescent="0.35"/>
    <row r="136" ht="28.5" customHeight="1" x14ac:dyDescent="0.35"/>
    <row r="137" ht="28.5" customHeight="1" x14ac:dyDescent="0.35"/>
    <row r="138" ht="28.5" customHeight="1" x14ac:dyDescent="0.35"/>
    <row r="139" ht="28.5" customHeight="1" x14ac:dyDescent="0.35"/>
    <row r="140" ht="28.5" customHeight="1" x14ac:dyDescent="0.35"/>
    <row r="141" ht="28.5" customHeight="1" x14ac:dyDescent="0.35"/>
    <row r="142" ht="28.5" customHeight="1" x14ac:dyDescent="0.35"/>
    <row r="143" ht="28.5" customHeight="1" x14ac:dyDescent="0.35"/>
    <row r="144" ht="28.5" customHeight="1" x14ac:dyDescent="0.35"/>
    <row r="145" ht="28.5" customHeight="1" x14ac:dyDescent="0.35"/>
    <row r="146" ht="28.5" customHeight="1" x14ac:dyDescent="0.35"/>
    <row r="147" ht="28.5" customHeight="1" x14ac:dyDescent="0.35"/>
    <row r="148" ht="28.5" customHeight="1" x14ac:dyDescent="0.35"/>
    <row r="149" ht="28.5" customHeight="1" x14ac:dyDescent="0.35"/>
    <row r="150" ht="28.5" customHeight="1" x14ac:dyDescent="0.35"/>
    <row r="151" ht="28.5" customHeight="1" x14ac:dyDescent="0.35"/>
    <row r="152" ht="28.5" customHeight="1" x14ac:dyDescent="0.35"/>
    <row r="153" ht="28.5" customHeight="1" x14ac:dyDescent="0.35"/>
    <row r="154" ht="28.5" customHeight="1" x14ac:dyDescent="0.35"/>
    <row r="155" ht="28.5" customHeight="1" x14ac:dyDescent="0.35"/>
    <row r="156" ht="28.5" customHeight="1" x14ac:dyDescent="0.35"/>
    <row r="157" ht="28.5" customHeight="1" x14ac:dyDescent="0.35"/>
    <row r="158" ht="28.5" customHeight="1" x14ac:dyDescent="0.35"/>
    <row r="159" ht="28.5" customHeight="1" x14ac:dyDescent="0.35"/>
    <row r="160" ht="28.5" customHeight="1" x14ac:dyDescent="0.35"/>
    <row r="161" ht="28.5" customHeight="1" x14ac:dyDescent="0.35"/>
    <row r="162" ht="28.5" customHeight="1" x14ac:dyDescent="0.35"/>
    <row r="163" ht="28.5" customHeight="1" x14ac:dyDescent="0.35"/>
    <row r="164" ht="28.5" customHeight="1" x14ac:dyDescent="0.35"/>
    <row r="165" ht="28.5" customHeight="1" x14ac:dyDescent="0.35"/>
    <row r="166" ht="28.5" customHeight="1" x14ac:dyDescent="0.35"/>
    <row r="167" ht="28.5" customHeight="1" x14ac:dyDescent="0.35"/>
    <row r="168" ht="28.5" customHeight="1" x14ac:dyDescent="0.35"/>
    <row r="169" ht="28.5" customHeight="1" x14ac:dyDescent="0.35"/>
    <row r="170" ht="28.5" customHeight="1" x14ac:dyDescent="0.35"/>
    <row r="171" ht="28.5" customHeight="1" x14ac:dyDescent="0.35"/>
    <row r="172" ht="28.5" customHeight="1" x14ac:dyDescent="0.35"/>
    <row r="173" ht="28.5" customHeight="1" x14ac:dyDescent="0.35"/>
    <row r="174" ht="28.5" customHeight="1" x14ac:dyDescent="0.35"/>
    <row r="175" ht="28.5" customHeight="1" x14ac:dyDescent="0.35"/>
    <row r="176" ht="28.5" customHeight="1" x14ac:dyDescent="0.35"/>
    <row r="177" ht="28.5" customHeight="1" x14ac:dyDescent="0.35"/>
    <row r="178" ht="28.5" customHeight="1" x14ac:dyDescent="0.35"/>
    <row r="179" ht="28.5" customHeight="1" x14ac:dyDescent="0.35"/>
    <row r="180" ht="28.5" customHeight="1" x14ac:dyDescent="0.35"/>
    <row r="181" ht="28.5" customHeight="1" x14ac:dyDescent="0.35"/>
    <row r="182" ht="28.5" customHeight="1" x14ac:dyDescent="0.35"/>
    <row r="183" ht="28.5" customHeight="1" x14ac:dyDescent="0.35"/>
    <row r="184" ht="28.5" customHeight="1" x14ac:dyDescent="0.35"/>
    <row r="185" ht="28.5" customHeight="1" x14ac:dyDescent="0.35"/>
    <row r="186" ht="28.5" customHeight="1" x14ac:dyDescent="0.35"/>
    <row r="187" ht="28.5" customHeight="1" x14ac:dyDescent="0.35"/>
    <row r="188" ht="28.5" customHeight="1" x14ac:dyDescent="0.35"/>
    <row r="189" ht="28.5" customHeight="1" x14ac:dyDescent="0.35"/>
    <row r="190" ht="28.5" customHeight="1" x14ac:dyDescent="0.35"/>
    <row r="191" ht="28.5" customHeight="1" x14ac:dyDescent="0.35"/>
    <row r="192" ht="28.5" customHeight="1" x14ac:dyDescent="0.35"/>
    <row r="193" ht="28.5" customHeight="1" x14ac:dyDescent="0.35"/>
    <row r="194" ht="28.5" customHeight="1" x14ac:dyDescent="0.35"/>
    <row r="195" ht="28.5" customHeight="1" x14ac:dyDescent="0.35"/>
    <row r="196" ht="28.5" customHeight="1" x14ac:dyDescent="0.35"/>
    <row r="197" ht="28.5" customHeight="1" x14ac:dyDescent="0.35"/>
  </sheetData>
  <mergeCells count="19">
    <mergeCell ref="C41:C43"/>
    <mergeCell ref="C44:C47"/>
    <mergeCell ref="C48:C50"/>
    <mergeCell ref="B2:H2"/>
    <mergeCell ref="B15:B20"/>
    <mergeCell ref="C15:C18"/>
    <mergeCell ref="C19:C20"/>
    <mergeCell ref="B21:B24"/>
    <mergeCell ref="C21:C24"/>
    <mergeCell ref="B25:B40"/>
    <mergeCell ref="C25:C28"/>
    <mergeCell ref="C29:C31"/>
    <mergeCell ref="C32:C40"/>
    <mergeCell ref="B41:B50"/>
    <mergeCell ref="B51:B57"/>
    <mergeCell ref="C51:C54"/>
    <mergeCell ref="C55:C57"/>
    <mergeCell ref="B58:B60"/>
    <mergeCell ref="C58:C60"/>
  </mergeCells>
  <dataValidations count="2">
    <dataValidation allowBlank="1" showInputMessage="1" showErrorMessage="1" sqref="F15:G60" xr:uid="{00000000-0002-0000-0000-000002000000}">
      <formula1>0</formula1>
      <formula2>0</formula2>
    </dataValidation>
    <dataValidation type="list" allowBlank="1" showInputMessage="1" showErrorMessage="1" sqref="E15:E60" xr:uid="{00000000-0002-0000-0000-000000000000}">
      <formula1>"Yes,No,Partially,Unknown"</formula1>
      <formula2>0</formula2>
    </dataValidation>
  </dataValidations>
  <hyperlinks>
    <hyperlink ref="B7" r:id="rId1" xr:uid="{65ABBFBE-ED13-4D95-88D5-98F474EF13BF}"/>
  </hyperlinks>
  <pageMargins left="0.7" right="0.7" top="0.75" bottom="0.75" header="0.511811023622047" footer="0.511811023622047"/>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Questionnaire Phase 1</vt:lpstr>
      <vt:lpstr>Questionnaire Phase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Rafael VDB</cp:lastModifiedBy>
  <cp:revision/>
  <dcterms:created xsi:type="dcterms:W3CDTF">2026-03-31T06:44:21Z</dcterms:created>
  <dcterms:modified xsi:type="dcterms:W3CDTF">2026-06-04T13:34:35Z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2026-04-06T16:55:38Z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f4a0256e-c4dc-4af2-99bd-a03ceb1a7476</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