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2bed0b45625b526/World_Bank_DRM/Cat_DDO_DRM_Diagnostic_Dashboard/data/"/>
    </mc:Choice>
  </mc:AlternateContent>
  <xr:revisionPtr revIDLastSave="1609" documentId="8_{897DEB52-8293-498E-AAF6-D0CE94892166}" xr6:coauthVersionLast="47" xr6:coauthVersionMax="47" xr10:uidLastSave="{FDDBB970-0B64-4DE6-B91C-21E2C866740E}"/>
  <bookViews>
    <workbookView xWindow="-108" yWindow="-108" windowWidth="30936" windowHeight="16776" xr2:uid="{D35593D8-ABCE-4EA8-921D-2F7793671AB9}"/>
  </bookViews>
  <sheets>
    <sheet name="Diagnostic Questions" sheetId="1" r:id="rId1"/>
    <sheet name="Summary (to be hidde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 l="1"/>
  <c r="I2" i="2"/>
  <c r="F4" i="2"/>
  <c r="E9" i="1"/>
  <c r="E8" i="2"/>
  <c r="E13" i="2"/>
  <c r="D13" i="2"/>
  <c r="G14" i="2"/>
  <c r="F14" i="2"/>
  <c r="E14" i="2"/>
  <c r="D14" i="2"/>
  <c r="I14" i="2" s="1"/>
  <c r="G13" i="2"/>
  <c r="F13" i="2"/>
  <c r="G12" i="2"/>
  <c r="F12" i="2"/>
  <c r="E12" i="2"/>
  <c r="D12" i="2"/>
  <c r="G11" i="2"/>
  <c r="F11" i="2"/>
  <c r="E11" i="2"/>
  <c r="D11" i="2"/>
  <c r="I11" i="2" s="1"/>
  <c r="F10" i="2"/>
  <c r="G10" i="2"/>
  <c r="E10" i="2"/>
  <c r="D10" i="2"/>
  <c r="G9" i="2"/>
  <c r="F9" i="2"/>
  <c r="E9" i="2"/>
  <c r="D9" i="2"/>
  <c r="G8" i="2"/>
  <c r="F8" i="2"/>
  <c r="D8" i="2"/>
  <c r="D7" i="2"/>
  <c r="G7" i="2"/>
  <c r="F7" i="2"/>
  <c r="E7" i="2"/>
  <c r="G6" i="2"/>
  <c r="F6" i="2"/>
  <c r="E6" i="2"/>
  <c r="D6" i="2"/>
  <c r="G5" i="2"/>
  <c r="F5" i="2"/>
  <c r="E5" i="2"/>
  <c r="D5" i="2"/>
  <c r="G4" i="2"/>
  <c r="E4" i="2"/>
  <c r="D4" i="2"/>
  <c r="G3" i="2"/>
  <c r="E3" i="2"/>
  <c r="D3" i="2"/>
  <c r="I10" i="2" l="1"/>
  <c r="I13" i="2"/>
  <c r="I6" i="2"/>
  <c r="I7" i="2"/>
  <c r="I4" i="2"/>
  <c r="I12" i="2"/>
  <c r="I3" i="2"/>
  <c r="I9" i="2"/>
  <c r="I8" i="2"/>
  <c r="I5" i="2"/>
  <c r="E7" i="1" l="1"/>
</calcChain>
</file>

<file path=xl/sharedStrings.xml><?xml version="1.0" encoding="utf-8"?>
<sst xmlns="http://schemas.openxmlformats.org/spreadsheetml/2006/main" count="221" uniqueCount="110">
  <si>
    <t>DRM Pillar</t>
  </si>
  <si>
    <t>Legal and institutional set up</t>
  </si>
  <si>
    <t>Key DRM achievements</t>
  </si>
  <si>
    <t>Policy enablers</t>
  </si>
  <si>
    <t>1. Legal and Institutional DRM Framework</t>
  </si>
  <si>
    <t>1.1. DRM policies and institutions</t>
  </si>
  <si>
    <t xml:space="preserve">Did the institution responsible for coordinating or leading DRM activities receive dedicated funding for these functions in the last fiscal year? </t>
  </si>
  <si>
    <t xml:space="preserve">Yes/No: </t>
  </si>
  <si>
    <t>1.2. Mainstreaming DRM into national and sectoral development plans</t>
  </si>
  <si>
    <t>Does the National Development Strategy (or equivalent national planning instrument) contain objectives, targets or indicators related to DRM and/or CCA?</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</si>
  <si>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</si>
  <si>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</si>
  <si>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</si>
  <si>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</si>
  <si>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</si>
  <si>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</si>
  <si>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</si>
  <si>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</si>
  <si>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</si>
  <si>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</si>
  <si>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</si>
  <si>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</si>
  <si>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</si>
  <si>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</si>
  <si>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</si>
  <si>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</si>
  <si>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</si>
  <si>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</si>
  <si>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</si>
  <si>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</si>
  <si>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</si>
  <si>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</si>
  <si>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</si>
  <si>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</si>
  <si>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</si>
  <si>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</si>
  <si>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</si>
  <si>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</si>
  <si>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</si>
  <si>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</si>
  <si>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</si>
  <si>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</si>
  <si>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</si>
  <si>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</si>
  <si>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</si>
  <si>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</si>
  <si>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</si>
  <si>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Has the government conducted stress tests of public debt that include disaster or climate-related scenarios?</t>
  </si>
  <si>
    <t>5.2. Disaster Risk Financing (DRF) strategies and instruments</t>
  </si>
  <si>
    <t>(1) Is the disaster fund (or equivalent mechanism) receiving a budget allocation? 
(2) Are there regulations that define standards for catastrophe insurance coverage of public or private assets?</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</si>
  <si>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</si>
  <si>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</si>
  <si>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</si>
  <si>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</si>
  <si>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</si>
  <si>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</si>
  <si>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laws and regulations clearly define institutional responsibilities and mandates for producing, acquiring, and managing risk information (e.g., hazard information, vulnerability assessments, risk profiles, historical disaster databases)?</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</si>
  <si>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</si>
  <si>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</si>
  <si>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</si>
  <si>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</si>
  <si>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</si>
  <si>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</si>
  <si>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</si>
  <si>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</si>
  <si>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</si>
  <si>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</si>
  <si>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</si>
  <si>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</si>
  <si>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</si>
  <si>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</si>
  <si>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</si>
  <si>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</si>
  <si>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</si>
  <si>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</si>
  <si>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Fiscal risk management</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</si>
  <si>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</si>
  <si>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</si>
  <si>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</si>
  <si>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</si>
  <si>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</si>
  <si>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</si>
  <si>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</si>
  <si>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</si>
  <si>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</si>
  <si>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</si>
  <si>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2. Go to the following website. The website may take some time to load. Please retry if needed.</t>
  </si>
  <si>
    <t>3. Copy and Paste Cell E7 to the website</t>
  </si>
  <si>
    <t>Thematic Area</t>
  </si>
  <si>
    <t>Yes</t>
  </si>
  <si>
    <t>DRF strategies and instruments</t>
  </si>
  <si>
    <t>Risk identification</t>
  </si>
  <si>
    <t>Early warning systems</t>
  </si>
  <si>
    <t>Emergency preparedness and response</t>
  </si>
  <si>
    <t>Adaptive social protection</t>
  </si>
  <si>
    <t>Resilient reconstruction</t>
  </si>
  <si>
    <t>No</t>
  </si>
  <si>
    <t>Is there a legal framework (e.g., a DRM law or other instruments) defining distinct mandates for disaster risk reduction and emergency management?</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</si>
  <si>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means, or result?</t>
  </si>
  <si>
    <t>Do laws and regulations mandate the use of risk information (e.g., hazard maps, risk assessments...) to develop territorial, spatial, land use, or urban planning instruments?</t>
  </si>
  <si>
    <t xml:space="preserve">Do official guidelines exist defining disaster and climate risk screening methodologies for new public investment projects? </t>
  </si>
  <si>
    <t>Do the legal framework and institutional arrangements for water supply and sanitation in urban areas take flood risk into account?</t>
  </si>
  <si>
    <t>Are there legal and institutional arrangements for integrated water resources management (IWRM) that explicitly incorporate flood and drought risk considerations?</t>
  </si>
  <si>
    <t>(1) Do at least 75% of essential government entities have an emergency response protocol or operational continuity plan? 
(2) Do at least 75% of subnational EP&amp;R entities have an approved contingency plan or emergency response protocol?</t>
  </si>
  <si>
    <t>During the most recent disaster or climate-related shock, was support promptly provided to the population through social‐protection programs?  (e.g., cash transfers in the case of drought)?</t>
  </si>
  <si>
    <r>
      <t>Over the past 4 years, has the $ amount of financing that can be mobilized through sovereign risk financing instruments increased?</t>
    </r>
    <r>
      <rPr>
        <sz val="10"/>
        <color rgb="FFFF0000"/>
        <rFont val="Calibri"/>
        <family val="2"/>
      </rPr>
      <t xml:space="preserve"> Please provide numbers when available</t>
    </r>
  </si>
  <si>
    <r>
      <t xml:space="preserve">Since the adoption of the DRM legal framework: 
(1) have DRM policy instruments (e.g., DRM strategies or policies) been officially approved? 
(2)  have DRM-related regulations (e.g., rules on the structure or functions of the DRM agency) been officially approved? </t>
    </r>
    <r>
      <rPr>
        <sz val="10"/>
        <color rgb="FFFF0000"/>
        <rFont val="Calibri"/>
        <family val="2"/>
      </rPr>
      <t xml:space="preserve">If yes, please specify which policy document(s) and/or regulation(s). </t>
    </r>
  </si>
  <si>
    <r>
      <t>Is there a reporting or monitoring mechanism to track progress toward DRM and/or CCA targets included in the National Development Strategies?</t>
    </r>
    <r>
      <rPr>
        <sz val="10"/>
        <color rgb="FFFF0000"/>
        <rFont val="Calibri"/>
        <family val="2"/>
      </rPr>
      <t xml:space="preserve"> If yes, please report those progress</t>
    </r>
  </si>
  <si>
    <r>
      <t xml:space="preserve">Do key fiscal policy documents (e.g., the medium-term fiscal framework or fiscal risk statements) include quantified assessments of disaster risks? </t>
    </r>
    <r>
      <rPr>
        <sz val="10"/>
        <color rgb="FFFF0000"/>
        <rFont val="Calibri"/>
        <family val="2"/>
      </rPr>
      <t>If yes, please specify which document(s).</t>
    </r>
  </si>
  <si>
    <r>
      <t xml:space="preserve">Are there sovereign risk financing instruments (e.g., disaster or emergency funds, contingent loans, insurance or other risk transfer mechanisms) in place to manage the financial impact of disasters and climate-related shocks? </t>
    </r>
    <r>
      <rPr>
        <sz val="10"/>
        <color rgb="FFFF0000"/>
        <rFont val="Calibri"/>
        <family val="2"/>
      </rPr>
      <t xml:space="preserve">If yes, please list them.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</si>
</sst>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
      <sz val="10"/>
      <color rgb="FFFF0000"/>
      <name val="Calibri"/>
      <family val="2"/>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5">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2" fillId="0" borderId="0" xfId="0" applyFont="1" applyAlignment="1">
      <alignment horizontal="right" vertical="center" wrapText="1"/>
    </xf>
    <xf numFmtId="0" fontId="1" fillId="0" borderId="0" xfId="0" applyFont="1" applyAlignment="1">
      <alignment horizontal="right" vertical="center" wrapText="1"/>
    </xf>
    <xf numFmtId="0" fontId="2" fillId="0" borderId="8" xfId="0" applyFont="1" applyBorder="1" applyAlignment="1">
      <alignment horizontal="right" vertical="center" wrapText="1"/>
    </xf>
    <xf numFmtId="0" fontId="15" fillId="0" borderId="8" xfId="0" applyFont="1" applyBorder="1" applyAlignment="1">
      <alignment horizontal="right" vertical="center" wrapText="1"/>
    </xf>
    <xf numFmtId="0" fontId="16" fillId="2" borderId="9" xfId="1" applyBorder="1" applyAlignment="1">
      <alignment horizontal="center" vertical="center" wrapText="1"/>
    </xf>
    <xf numFmtId="0" fontId="1" fillId="0" borderId="10" xfId="0" applyFont="1" applyBorder="1" applyAlignment="1">
      <alignment horizontal="right" vertical="center" wrapText="1"/>
    </xf>
    <xf numFmtId="0" fontId="1" fillId="0" borderId="8" xfId="0" applyFont="1" applyBorder="1" applyAlignment="1">
      <alignment horizontal="right" vertical="center" wrapText="1"/>
    </xf>
    <xf numFmtId="0" fontId="2" fillId="0" borderId="22" xfId="0" applyFont="1" applyBorder="1" applyAlignment="1">
      <alignment horizontal="right" vertical="center" wrapText="1"/>
    </xf>
    <xf numFmtId="0" fontId="2" fillId="0" borderId="24" xfId="0" applyFont="1" applyBorder="1" applyAlignment="1">
      <alignment horizontal="right" vertical="center" wrapText="1"/>
    </xf>
    <xf numFmtId="0" fontId="1" fillId="0" borderId="22" xfId="0" applyFont="1" applyBorder="1" applyAlignment="1">
      <alignment horizontal="right" vertical="center" wrapText="1"/>
    </xf>
    <xf numFmtId="0" fontId="1" fillId="0" borderId="24" xfId="0" applyFont="1" applyBorder="1" applyAlignment="1">
      <alignment horizontal="right" vertical="center" wrapText="1"/>
    </xf>
    <xf numFmtId="0" fontId="16" fillId="2" borderId="27" xfId="1" applyBorder="1" applyAlignment="1">
      <alignment horizontal="center" vertical="center" wrapText="1"/>
    </xf>
    <xf numFmtId="0" fontId="16" fillId="2" borderId="23" xfId="1" applyBorder="1" applyAlignment="1">
      <alignment horizontal="center" vertical="center" wrapText="1"/>
    </xf>
    <xf numFmtId="0" fontId="16" fillId="2" borderId="25" xfId="1" applyBorder="1" applyAlignment="1">
      <alignment horizontal="center" vertical="center" wrapText="1"/>
    </xf>
    <xf numFmtId="0" fontId="1" fillId="0" borderId="10" xfId="0" applyFont="1" applyBorder="1" applyAlignment="1">
      <alignment vertical="center" wrapText="1"/>
    </xf>
    <xf numFmtId="0" fontId="16" fillId="2" borderId="11" xfId="1" applyBorder="1" applyAlignment="1">
      <alignment horizontal="center" vertical="center" wrapText="1"/>
    </xf>
    <xf numFmtId="0" fontId="16" fillId="2" borderId="18" xfId="1" applyBorder="1" applyAlignment="1">
      <alignment horizontal="center" vertical="center" wrapText="1"/>
    </xf>
    <xf numFmtId="0" fontId="0" fillId="0" borderId="0" xfId="0" applyAlignment="1">
      <alignment horizontal="center"/>
    </xf>
    <xf numFmtId="0" fontId="0" fillId="0" borderId="0" xfId="0" applyAlignment="1">
      <alignment vertical="center" wrapText="1"/>
    </xf>
    <xf numFmtId="0" fontId="2" fillId="4" borderId="8" xfId="0" applyFont="1" applyFill="1" applyBorder="1" applyAlignment="1">
      <alignment horizontal="right" vertical="center" wrapText="1"/>
    </xf>
    <xf numFmtId="0" fontId="2" fillId="4" borderId="22" xfId="0" applyFont="1" applyFill="1" applyBorder="1" applyAlignment="1">
      <alignment horizontal="right" vertical="center" wrapText="1"/>
    </xf>
    <xf numFmtId="0" fontId="15" fillId="4" borderId="8" xfId="0" applyFont="1" applyFill="1" applyBorder="1" applyAlignment="1">
      <alignment horizontal="right" vertical="center" wrapText="1"/>
    </xf>
    <xf numFmtId="0" fontId="2" fillId="4" borderId="10" xfId="0" applyFont="1" applyFill="1" applyBorder="1" applyAlignment="1">
      <alignment horizontal="right" vertical="center" wrapText="1"/>
    </xf>
    <xf numFmtId="0" fontId="15" fillId="4" borderId="0" xfId="0" applyFont="1" applyFill="1" applyAlignment="1">
      <alignment horizontal="right" vertical="center" wrapText="1"/>
    </xf>
    <xf numFmtId="0" fontId="2" fillId="4" borderId="24" xfId="0" applyFont="1" applyFill="1" applyBorder="1" applyAlignment="1">
      <alignment horizontal="right" vertical="center" wrapText="1"/>
    </xf>
    <xf numFmtId="0" fontId="15" fillId="4" borderId="22" xfId="0" applyFont="1" applyFill="1" applyBorder="1" applyAlignment="1">
      <alignment horizontal="righ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17" fillId="3" borderId="12" xfId="2" applyFont="1" applyBorder="1" applyAlignment="1">
      <alignment horizontal="center" vertical="center" wrapText="1"/>
    </xf>
    <xf numFmtId="0" fontId="17" fillId="3" borderId="33" xfId="2" applyFont="1" applyBorder="1" applyAlignment="1">
      <alignment horizontal="center" vertical="center" wrapText="1"/>
    </xf>
    <xf numFmtId="0" fontId="0" fillId="0" borderId="5" xfId="0" applyBorder="1"/>
    <xf numFmtId="0" fontId="0" fillId="0" borderId="5" xfId="0" applyBorder="1" applyAlignment="1">
      <alignment wrapText="1"/>
    </xf>
    <xf numFmtId="0" fontId="1" fillId="4" borderId="8" xfId="0" applyFont="1" applyFill="1" applyBorder="1" applyAlignment="1">
      <alignment horizontal="righ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2" fillId="4" borderId="8" xfId="0" applyFont="1" applyFill="1" applyBorder="1" applyAlignment="1">
      <alignment vertical="center" wrapText="1"/>
    </xf>
    <xf numFmtId="0" fontId="2" fillId="4" borderId="10" xfId="0" applyFont="1" applyFill="1" applyBorder="1" applyAlignment="1">
      <alignment vertical="center" wrapText="1"/>
    </xf>
    <xf numFmtId="0" fontId="2" fillId="4" borderId="8" xfId="0" applyFont="1" applyFill="1" applyBorder="1" applyAlignment="1">
      <alignment horizontal="center" vertical="center" wrapText="1"/>
    </xf>
    <xf numFmtId="0" fontId="15" fillId="4" borderId="10" xfId="0" applyFont="1" applyFill="1" applyBorder="1" applyAlignment="1">
      <alignment vertical="center" wrapText="1"/>
    </xf>
    <xf numFmtId="0" fontId="1" fillId="4" borderId="0" xfId="0" applyFont="1" applyFill="1" applyAlignment="1">
      <alignment horizontal="right" vertical="center" wrapText="1"/>
    </xf>
    <xf numFmtId="0" fontId="2" fillId="4" borderId="8" xfId="0" applyFont="1" applyFill="1" applyBorder="1" applyAlignment="1">
      <alignment horizontal="right" vertical="top" wrapText="1"/>
    </xf>
    <xf numFmtId="0" fontId="16" fillId="2" borderId="27" xfId="1" applyBorder="1" applyAlignment="1">
      <alignment horizontal="center" vertical="top" wrapText="1"/>
    </xf>
    <xf numFmtId="0" fontId="1" fillId="4" borderId="18" xfId="0" applyFont="1" applyFill="1" applyBorder="1" applyAlignment="1">
      <alignment horizontal="right" vertical="center" wrapText="1"/>
    </xf>
    <xf numFmtId="0" fontId="2" fillId="0" borderId="22" xfId="0" applyFont="1" applyBorder="1" applyAlignment="1">
      <alignment vertical="center" wrapText="1"/>
    </xf>
    <xf numFmtId="0" fontId="1" fillId="4" borderId="0" xfId="0" applyFont="1" applyFill="1" applyAlignment="1">
      <alignment vertical="center" wrapText="1"/>
    </xf>
    <xf numFmtId="0" fontId="2" fillId="4" borderId="22" xfId="0" applyFont="1" applyFill="1" applyBorder="1" applyAlignment="1">
      <alignment vertical="center" wrapText="1"/>
    </xf>
    <xf numFmtId="0" fontId="2" fillId="4" borderId="0" xfId="0" applyFont="1" applyFill="1" applyAlignment="1">
      <alignment horizontal="right" vertical="center" wrapText="1"/>
    </xf>
    <xf numFmtId="0" fontId="2" fillId="4" borderId="24" xfId="0" applyFont="1" applyFill="1" applyBorder="1" applyAlignment="1">
      <alignment vertical="center" wrapText="1"/>
    </xf>
    <xf numFmtId="0" fontId="2" fillId="0" borderId="11" xfId="0" applyFont="1" applyBorder="1" applyAlignment="1">
      <alignment horizontal="right" vertical="center" wrapText="1"/>
    </xf>
    <xf numFmtId="0" fontId="2" fillId="0" borderId="23" xfId="0" applyFont="1" applyBorder="1" applyAlignment="1">
      <alignment horizontal="right" vertical="center" wrapText="1"/>
    </xf>
    <xf numFmtId="0" fontId="1" fillId="4" borderId="11" xfId="0" applyFont="1" applyFill="1" applyBorder="1" applyAlignment="1">
      <alignment horizontal="right" vertical="center" wrapText="1"/>
    </xf>
    <xf numFmtId="0" fontId="2" fillId="0" borderId="25" xfId="0" applyFont="1" applyBorder="1" applyAlignment="1">
      <alignment horizontal="right" vertical="center" wrapText="1"/>
    </xf>
    <xf numFmtId="0" fontId="1" fillId="4" borderId="24" xfId="0" applyFont="1" applyFill="1" applyBorder="1" applyAlignment="1">
      <alignment horizontal="right" vertical="center" wrapText="1"/>
    </xf>
    <xf numFmtId="0" fontId="1" fillId="4" borderId="25" xfId="0" applyFont="1" applyFill="1" applyBorder="1" applyAlignment="1">
      <alignment horizontal="right" vertical="center" wrapText="1"/>
    </xf>
    <xf numFmtId="0" fontId="1" fillId="4" borderId="27" xfId="0" applyFont="1" applyFill="1" applyBorder="1" applyAlignment="1">
      <alignment horizontal="right" vertical="center" wrapText="1"/>
    </xf>
    <xf numFmtId="0" fontId="2" fillId="0" borderId="18" xfId="0" applyFont="1" applyBorder="1" applyAlignment="1">
      <alignment horizontal="right" vertical="center" wrapText="1"/>
    </xf>
    <xf numFmtId="0" fontId="1" fillId="4" borderId="23" xfId="0" applyFont="1" applyFill="1" applyBorder="1" applyAlignment="1">
      <alignment horizontal="right" vertical="center" wrapText="1"/>
    </xf>
    <xf numFmtId="49" fontId="16" fillId="2" borderId="9" xfId="1" applyNumberFormat="1" applyBorder="1" applyAlignment="1">
      <alignment horizontal="center" vertical="center" wrapText="1"/>
    </xf>
    <xf numFmtId="0" fontId="16" fillId="2" borderId="0" xfId="1" applyBorder="1" applyAlignment="1">
      <alignment horizontal="left" vertical="center"/>
    </xf>
    <xf numFmtId="0" fontId="23" fillId="0" borderId="34" xfId="3" applyFont="1"/>
    <xf numFmtId="0" fontId="24" fillId="0" borderId="0" xfId="5" applyFont="1"/>
    <xf numFmtId="0" fontId="25" fillId="0" borderId="0" xfId="0" applyFont="1"/>
    <xf numFmtId="0" fontId="26" fillId="0" borderId="0" xfId="4" applyFont="1"/>
    <xf numFmtId="0" fontId="8" fillId="4" borderId="12" xfId="0" applyFont="1" applyFill="1" applyBorder="1" applyAlignment="1">
      <alignment horizontal="center" vertical="center" wrapText="1"/>
    </xf>
    <xf numFmtId="0" fontId="8" fillId="4" borderId="17" xfId="0" applyFont="1" applyFill="1" applyBorder="1" applyAlignment="1">
      <alignment horizontal="center" vertical="center" wrapText="1"/>
    </xf>
    <xf numFmtId="0" fontId="8" fillId="4" borderId="20"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10" fillId="4" borderId="21" xfId="0" applyFont="1" applyFill="1" applyBorder="1" applyAlignment="1">
      <alignment horizontal="center" vertical="center" wrapText="1"/>
    </xf>
    <xf numFmtId="0" fontId="7" fillId="0" borderId="0" xfId="0" applyFont="1" applyAlignment="1">
      <alignment horizontal="left" wrapText="1"/>
    </xf>
    <xf numFmtId="0" fontId="22" fillId="0" borderId="0" xfId="6"/>
    <xf numFmtId="0" fontId="9" fillId="0" borderId="12" xfId="0" applyFont="1" applyBorder="1" applyAlignment="1">
      <alignment horizontal="center" vertical="center" wrapText="1"/>
    </xf>
    <xf numFmtId="0" fontId="9" fillId="0" borderId="20" xfId="0" applyFont="1" applyBorder="1" applyAlignment="1">
      <alignment horizontal="center" vertical="center" wrapText="1"/>
    </xf>
    <xf numFmtId="0" fontId="9" fillId="0" borderId="17"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21" xfId="0" applyFont="1" applyBorder="1" applyAlignment="1">
      <alignment horizontal="center" vertical="center" wrapText="1"/>
    </xf>
    <xf numFmtId="0" fontId="10" fillId="4" borderId="13" xfId="0" applyFont="1" applyFill="1" applyBorder="1" applyAlignment="1">
      <alignment horizontal="center" vertical="center" wrapText="1"/>
    </xf>
    <xf numFmtId="0" fontId="10" fillId="4" borderId="3" xfId="0" applyFont="1" applyFill="1" applyBorder="1" applyAlignment="1">
      <alignment horizontal="center" vertical="center" wrapText="1"/>
    </xf>
    <xf numFmtId="0" fontId="11" fillId="0" borderId="26" xfId="0" applyFont="1" applyBorder="1" applyAlignment="1">
      <alignment horizontal="center" vertical="center" wrapText="1"/>
    </xf>
    <xf numFmtId="0" fontId="11" fillId="0" borderId="24" xfId="0" applyFont="1" applyBorder="1" applyAlignment="1">
      <alignment horizontal="center" vertical="center" wrapText="1"/>
    </xf>
    <xf numFmtId="0" fontId="11" fillId="0" borderId="1" xfId="0" applyFont="1" applyBorder="1" applyAlignment="1">
      <alignment horizontal="center" vertical="center" wrapText="1"/>
    </xf>
    <xf numFmtId="0" fontId="10" fillId="4" borderId="28" xfId="0" applyFont="1" applyFill="1" applyBorder="1" applyAlignment="1">
      <alignment horizontal="center" vertical="center" wrapText="1"/>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wrapText="1"/>
    </xf>
    <xf numFmtId="0" fontId="1" fillId="4" borderId="6" xfId="0" applyFont="1" applyFill="1" applyBorder="1" applyAlignment="1">
      <alignment vertical="top" wrapText="1"/>
    </xf>
    <xf numFmtId="0" fontId="1" fillId="4" borderId="7" xfId="0" applyFont="1" applyFill="1" applyBorder="1" applyAlignment="1">
      <alignment vertical="top" wrapText="1"/>
    </xf>
    <xf numFmtId="0" fontId="10" fillId="4" borderId="1" xfId="0" applyFont="1" applyFill="1" applyBorder="1" applyAlignment="1">
      <alignment horizontal="center" vertical="center" wrapText="1"/>
    </xf>
    <xf numFmtId="0" fontId="1" fillId="4" borderId="6" xfId="0" applyFont="1" applyFill="1" applyBorder="1" applyAlignment="1">
      <alignment horizontal="left" vertical="top" wrapText="1"/>
    </xf>
    <xf numFmtId="0" fontId="1" fillId="4" borderId="9" xfId="0" applyFont="1" applyFill="1" applyBorder="1" applyAlignment="1">
      <alignment horizontal="left" vertical="top" wrapText="1"/>
    </xf>
    <xf numFmtId="0" fontId="2" fillId="4" borderId="14" xfId="0" applyFont="1" applyFill="1" applyBorder="1" applyAlignment="1">
      <alignment horizontal="left" vertical="top" wrapText="1"/>
    </xf>
    <xf numFmtId="0" fontId="2" fillId="4" borderId="16" xfId="0" applyFont="1" applyFill="1" applyBorder="1" applyAlignment="1">
      <alignment horizontal="left" vertical="top" wrapText="1"/>
    </xf>
    <xf numFmtId="0" fontId="17" fillId="3" borderId="13" xfId="2" applyFont="1" applyBorder="1" applyAlignment="1">
      <alignment horizontal="center" vertical="center" wrapText="1"/>
    </xf>
    <xf numFmtId="0" fontId="17" fillId="3" borderId="16" xfId="2" applyFont="1" applyBorder="1" applyAlignment="1">
      <alignment horizontal="center" vertical="center" wrapText="1"/>
    </xf>
    <xf numFmtId="0" fontId="17" fillId="3" borderId="32" xfId="2" applyFont="1" applyBorder="1" applyAlignment="1">
      <alignment horizontal="center" vertical="center" wrapText="1"/>
    </xf>
    <xf numFmtId="0" fontId="1" fillId="4" borderId="14" xfId="0" applyFont="1" applyFill="1" applyBorder="1" applyAlignment="1">
      <alignment vertical="top" wrapText="1"/>
    </xf>
    <xf numFmtId="0" fontId="1" fillId="4" borderId="15" xfId="0" applyFont="1" applyFill="1" applyBorder="1" applyAlignment="1">
      <alignment vertical="top" wrapText="1"/>
    </xf>
    <xf numFmtId="0" fontId="2" fillId="4" borderId="15" xfId="0" applyFont="1" applyFill="1" applyBorder="1" applyAlignment="1">
      <alignment horizontal="left" vertical="top" wrapText="1"/>
    </xf>
    <xf numFmtId="0" fontId="2" fillId="4" borderId="8" xfId="0" applyFont="1" applyFill="1" applyBorder="1" applyAlignment="1">
      <alignment horizontal="left" vertical="top" wrapText="1"/>
    </xf>
    <xf numFmtId="0" fontId="2" fillId="4" borderId="27" xfId="0" applyFont="1" applyFill="1" applyBorder="1" applyAlignment="1">
      <alignment horizontal="left" vertical="top" wrapText="1"/>
    </xf>
    <xf numFmtId="0" fontId="2" fillId="0" borderId="14" xfId="0" applyFont="1" applyBorder="1" applyAlignment="1">
      <alignment horizontal="left" vertical="top" wrapText="1"/>
    </xf>
    <xf numFmtId="0" fontId="2" fillId="0" borderId="15" xfId="0" applyFont="1" applyBorder="1" applyAlignment="1">
      <alignment horizontal="left" vertical="top" wrapText="1"/>
    </xf>
    <xf numFmtId="0" fontId="2" fillId="0" borderId="16" xfId="0" applyFont="1" applyBorder="1" applyAlignment="1">
      <alignment horizontal="left" vertical="top" wrapText="1"/>
    </xf>
    <xf numFmtId="0" fontId="1" fillId="4" borderId="16" xfId="0" applyFont="1" applyFill="1" applyBorder="1" applyAlignment="1">
      <alignment vertical="top" wrapText="1"/>
    </xf>
    <xf numFmtId="0" fontId="1" fillId="4" borderId="14" xfId="0" applyFont="1" applyFill="1" applyBorder="1" applyAlignment="1">
      <alignment horizontal="left" vertical="top" wrapText="1"/>
    </xf>
    <xf numFmtId="0" fontId="1" fillId="4" borderId="15" xfId="0" applyFont="1" applyFill="1" applyBorder="1" applyAlignment="1">
      <alignment horizontal="left" vertical="top" wrapText="1"/>
    </xf>
    <xf numFmtId="0" fontId="2" fillId="4" borderId="7" xfId="0" applyFont="1" applyFill="1" applyBorder="1" applyAlignment="1">
      <alignment horizontal="left" vertical="top" wrapText="1"/>
    </xf>
    <xf numFmtId="0" fontId="15" fillId="4" borderId="6" xfId="0" applyFont="1" applyFill="1" applyBorder="1" applyAlignment="1">
      <alignment horizontal="left" vertical="top" wrapText="1"/>
    </xf>
    <xf numFmtId="0" fontId="15" fillId="4" borderId="7" xfId="0" applyFont="1" applyFill="1" applyBorder="1" applyAlignment="1">
      <alignment horizontal="left" vertical="top" wrapText="1"/>
    </xf>
    <xf numFmtId="0" fontId="1" fillId="4" borderId="0" xfId="0" applyFont="1" applyFill="1" applyAlignment="1">
      <alignment horizontal="left" vertical="top" wrapText="1"/>
    </xf>
    <xf numFmtId="0" fontId="1" fillId="4" borderId="19" xfId="0" applyFont="1" applyFill="1" applyBorder="1" applyAlignment="1">
      <alignment horizontal="left" vertical="top" wrapText="1"/>
    </xf>
    <xf numFmtId="0" fontId="1" fillId="0" borderId="14" xfId="0" applyFont="1" applyBorder="1" applyAlignment="1">
      <alignment horizontal="left" vertical="top" wrapText="1"/>
    </xf>
    <xf numFmtId="0" fontId="1" fillId="0" borderId="16"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6" xfId="0" applyFont="1" applyBorder="1" applyAlignment="1">
      <alignment horizontal="left" vertical="top" wrapText="1"/>
    </xf>
    <xf numFmtId="0" fontId="1" fillId="0" borderId="15" xfId="0" applyFont="1" applyBorder="1" applyAlignment="1">
      <alignment horizontal="left" vertical="top" wrapText="1"/>
    </xf>
    <xf numFmtId="0" fontId="1" fillId="0" borderId="19" xfId="0" applyFont="1" applyBorder="1" applyAlignment="1">
      <alignment horizontal="left" vertical="top" wrapText="1"/>
    </xf>
    <xf numFmtId="0" fontId="1" fillId="0" borderId="27" xfId="0" applyFont="1" applyBorder="1" applyAlignment="1">
      <alignment horizontal="left" vertical="top" wrapText="1"/>
    </xf>
    <xf numFmtId="0" fontId="1" fillId="0" borderId="0" xfId="0" applyFont="1" applyAlignment="1">
      <alignment horizontal="left" vertical="top" wrapText="1"/>
    </xf>
    <xf numFmtId="0" fontId="1" fillId="0" borderId="8" xfId="0" applyFont="1" applyBorder="1" applyAlignment="1">
      <alignment vertical="top" wrapText="1"/>
    </xf>
    <xf numFmtId="0" fontId="1" fillId="0" borderId="9" xfId="0" applyFont="1" applyBorder="1" applyAlignment="1">
      <alignment vertical="top" wrapText="1"/>
    </xf>
    <xf numFmtId="0" fontId="1" fillId="4" borderId="8" xfId="0" applyFont="1" applyFill="1" applyBorder="1" applyAlignment="1">
      <alignment vertical="top" wrapText="1"/>
    </xf>
    <xf numFmtId="0" fontId="1" fillId="4" borderId="9" xfId="0" applyFont="1" applyFill="1" applyBorder="1" applyAlignment="1">
      <alignment vertical="top" wrapText="1"/>
    </xf>
    <xf numFmtId="0" fontId="1" fillId="4" borderId="16" xfId="0" applyFont="1" applyFill="1" applyBorder="1" applyAlignment="1">
      <alignment horizontal="left" vertical="top" wrapText="1"/>
    </xf>
    <xf numFmtId="0" fontId="1" fillId="4" borderId="27" xfId="0" applyFont="1" applyFill="1" applyBorder="1" applyAlignment="1">
      <alignment vertical="top" wrapText="1"/>
    </xf>
    <xf numFmtId="0" fontId="1" fillId="0" borderId="14" xfId="0" applyFont="1" applyBorder="1" applyAlignment="1">
      <alignment vertical="top" wrapText="1"/>
    </xf>
    <xf numFmtId="0" fontId="1" fillId="0" borderId="16" xfId="0" applyFont="1" applyBorder="1" applyAlignment="1">
      <alignment vertical="top" wrapText="1"/>
    </xf>
    <xf numFmtId="0" fontId="1" fillId="4" borderId="0" xfId="0" applyFont="1" applyFill="1" applyAlignment="1">
      <alignment vertical="top" wrapText="1"/>
    </xf>
    <xf numFmtId="0" fontId="14" fillId="4" borderId="31" xfId="0" applyFont="1" applyFill="1" applyBorder="1" applyAlignment="1">
      <alignment horizontal="center" vertical="center" wrapText="1"/>
    </xf>
    <xf numFmtId="0" fontId="14" fillId="4" borderId="29" xfId="0" applyFont="1" applyFill="1" applyBorder="1" applyAlignment="1">
      <alignment horizontal="center" vertical="center" wrapText="1"/>
    </xf>
    <xf numFmtId="0" fontId="14" fillId="4" borderId="1" xfId="0" applyFont="1" applyFill="1" applyBorder="1" applyAlignment="1">
      <alignment horizontal="center" vertical="center" wrapText="1"/>
    </xf>
    <xf numFmtId="0" fontId="14" fillId="4" borderId="3" xfId="0" applyFont="1" applyFill="1" applyBorder="1" applyAlignment="1">
      <alignment horizontal="center" vertical="center" wrapText="1"/>
    </xf>
    <xf numFmtId="0" fontId="1" fillId="4" borderId="7" xfId="0" applyFont="1" applyFill="1" applyBorder="1" applyAlignment="1">
      <alignment horizontal="left" vertical="top" wrapText="1"/>
    </xf>
    <xf numFmtId="0" fontId="1" fillId="4" borderId="27" xfId="0" applyFont="1" applyFill="1" applyBorder="1" applyAlignment="1">
      <alignment horizontal="left" vertical="top" wrapText="1"/>
    </xf>
    <xf numFmtId="0" fontId="15" fillId="4" borderId="14" xfId="0" applyFont="1" applyFill="1" applyBorder="1" applyAlignment="1">
      <alignment horizontal="left" vertical="top" wrapText="1"/>
    </xf>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'Summary (to be hidden)'!$D$2</c:f>
              <c:strCache>
                <c:ptCount val="1"/>
                <c:pt idx="0">
                  <c:v>Legal and institutional set up</c:v>
                </c:pt>
              </c:strCache>
            </c:strRef>
          </c:tx>
          <c:spPr>
            <a:solidFill>
              <a:schemeClr val="accent1"/>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hidden)'!$D$3:$D$14</c:f>
              <c:numCache>
                <c:formatCode>General</c:formatCode>
                <c:ptCount val="12"/>
                <c:pt idx="0">
                  <c:v>1</c:v>
                </c:pt>
                <c:pt idx="1">
                  <c:v>0</c:v>
                </c:pt>
                <c:pt idx="2">
                  <c:v>0</c:v>
                </c:pt>
                <c:pt idx="3">
                  <c:v>1</c:v>
                </c:pt>
                <c:pt idx="4">
                  <c:v>0</c:v>
                </c:pt>
                <c:pt idx="5">
                  <c:v>0.875</c:v>
                </c:pt>
                <c:pt idx="6">
                  <c:v>1</c:v>
                </c:pt>
                <c:pt idx="7">
                  <c:v>0</c:v>
                </c:pt>
                <c:pt idx="8">
                  <c:v>0</c:v>
                </c:pt>
                <c:pt idx="9">
                  <c:v>0</c:v>
                </c:pt>
                <c:pt idx="10">
                  <c:v>0</c:v>
                </c:pt>
                <c:pt idx="11">
                  <c:v>0</c:v>
                </c:pt>
              </c:numCache>
            </c:numRef>
          </c:val>
          <c:extLst>
            <c:ext xmlns:c16="http://schemas.microsoft.com/office/drawing/2014/chart" uri="{C3380CC4-5D6E-409C-BE32-E72D297353CC}">
              <c16:uniqueId val="{00000000-0519-457C-87EF-F4C2412E5135}"/>
            </c:ext>
          </c:extLst>
        </c:ser>
        <c:ser>
          <c:idx val="1"/>
          <c:order val="1"/>
          <c:tx>
            <c:strRef>
              <c:f>'Summary (to be hidden)'!$E$2</c:f>
              <c:strCache>
                <c:ptCount val="1"/>
                <c:pt idx="0">
                  <c:v>Intermediary DRM outputs</c:v>
                </c:pt>
              </c:strCache>
            </c:strRef>
          </c:tx>
          <c:spPr>
            <a:solidFill>
              <a:schemeClr val="accent2"/>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hidden)'!$E$3:$E$14</c:f>
              <c:numCache>
                <c:formatCode>General</c:formatCode>
                <c:ptCount val="12"/>
                <c:pt idx="0">
                  <c:v>0</c:v>
                </c:pt>
                <c:pt idx="1">
                  <c:v>0</c:v>
                </c:pt>
                <c:pt idx="2">
                  <c:v>0.5</c:v>
                </c:pt>
                <c:pt idx="3">
                  <c:v>1</c:v>
                </c:pt>
                <c:pt idx="4">
                  <c:v>0</c:v>
                </c:pt>
                <c:pt idx="5">
                  <c:v>0.5</c:v>
                </c:pt>
                <c:pt idx="6">
                  <c:v>0</c:v>
                </c:pt>
                <c:pt idx="7">
                  <c:v>0</c:v>
                </c:pt>
                <c:pt idx="8">
                  <c:v>0</c:v>
                </c:pt>
                <c:pt idx="9">
                  <c:v>0</c:v>
                </c:pt>
                <c:pt idx="10">
                  <c:v>0</c:v>
                </c:pt>
                <c:pt idx="11">
                  <c:v>0</c:v>
                </c:pt>
              </c:numCache>
            </c:numRef>
          </c:val>
          <c:extLst>
            <c:ext xmlns:c16="http://schemas.microsoft.com/office/drawing/2014/chart" uri="{C3380CC4-5D6E-409C-BE32-E72D297353CC}">
              <c16:uniqueId val="{00000001-0519-457C-87EF-F4C2412E5135}"/>
            </c:ext>
          </c:extLst>
        </c:ser>
        <c:ser>
          <c:idx val="2"/>
          <c:order val="2"/>
          <c:tx>
            <c:strRef>
              <c:f>'Summary (to be hidden)'!$F$2</c:f>
              <c:strCache>
                <c:ptCount val="1"/>
                <c:pt idx="0">
                  <c:v>Key DRM achievements</c:v>
                </c:pt>
              </c:strCache>
            </c:strRef>
          </c:tx>
          <c:spPr>
            <a:solidFill>
              <a:schemeClr val="accent3"/>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hidden)'!$F$3:$F$14</c:f>
              <c:numCache>
                <c:formatCode>General</c:formatCode>
                <c:ptCount val="12"/>
                <c:pt idx="0">
                  <c:v>1</c:v>
                </c:pt>
                <c:pt idx="1">
                  <c:v>1</c:v>
                </c:pt>
                <c:pt idx="2">
                  <c:v>0</c:v>
                </c:pt>
                <c:pt idx="3">
                  <c:v>1</c:v>
                </c:pt>
                <c:pt idx="4">
                  <c:v>0</c:v>
                </c:pt>
                <c:pt idx="5">
                  <c:v>0.5</c:v>
                </c:pt>
                <c:pt idx="6">
                  <c:v>1</c:v>
                </c:pt>
                <c:pt idx="7">
                  <c:v>1</c:v>
                </c:pt>
                <c:pt idx="8">
                  <c:v>0</c:v>
                </c:pt>
                <c:pt idx="9">
                  <c:v>0</c:v>
                </c:pt>
                <c:pt idx="10">
                  <c:v>0</c:v>
                </c:pt>
                <c:pt idx="11">
                  <c:v>0</c:v>
                </c:pt>
              </c:numCache>
            </c:numRef>
          </c:val>
          <c:extLst>
            <c:ext xmlns:c16="http://schemas.microsoft.com/office/drawing/2014/chart" uri="{C3380CC4-5D6E-409C-BE32-E72D297353CC}">
              <c16:uniqueId val="{00000002-0519-457C-87EF-F4C2412E5135}"/>
            </c:ext>
          </c:extLst>
        </c:ser>
        <c:ser>
          <c:idx val="3"/>
          <c:order val="3"/>
          <c:tx>
            <c:strRef>
              <c:f>'Summary (to be hidden)'!$G$2</c:f>
              <c:strCache>
                <c:ptCount val="1"/>
                <c:pt idx="0">
                  <c:v>Policy enablers</c:v>
                </c:pt>
              </c:strCache>
            </c:strRef>
          </c:tx>
          <c:spPr>
            <a:solidFill>
              <a:schemeClr val="accent4"/>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hidden)'!$G$3:$G$14</c:f>
              <c:numCache>
                <c:formatCode>General</c:formatCode>
                <c:ptCount val="12"/>
                <c:pt idx="0">
                  <c:v>0</c:v>
                </c:pt>
                <c:pt idx="1">
                  <c:v>1</c:v>
                </c:pt>
                <c:pt idx="2">
                  <c:v>1</c:v>
                </c:pt>
                <c:pt idx="3">
                  <c:v>1</c:v>
                </c:pt>
                <c:pt idx="4">
                  <c:v>0</c:v>
                </c:pt>
                <c:pt idx="5">
                  <c:v>1</c:v>
                </c:pt>
                <c:pt idx="6">
                  <c:v>1</c:v>
                </c:pt>
                <c:pt idx="7">
                  <c:v>1</c:v>
                </c:pt>
                <c:pt idx="8">
                  <c:v>0</c:v>
                </c:pt>
                <c:pt idx="9">
                  <c:v>0</c:v>
                </c:pt>
                <c:pt idx="10">
                  <c:v>0</c:v>
                </c:pt>
                <c:pt idx="11">
                  <c:v>0</c:v>
                </c:pt>
              </c:numCache>
            </c:numRef>
          </c:val>
          <c:extLst>
            <c:ext xmlns:c16="http://schemas.microsoft.com/office/drawing/2014/chart" uri="{C3380CC4-5D6E-409C-BE32-E72D297353CC}">
              <c16:uniqueId val="{00000003-0519-457C-87EF-F4C2412E5135}"/>
            </c:ext>
          </c:extLst>
        </c:ser>
        <c:dLbls>
          <c:showLegendKey val="0"/>
          <c:showVal val="0"/>
          <c:showCatName val="0"/>
          <c:showSerName val="0"/>
          <c:showPercent val="0"/>
          <c:showBubbleSize val="0"/>
        </c:dLbls>
        <c:gapWidth val="62"/>
        <c:overlap val="100"/>
        <c:axId val="1725670432"/>
        <c:axId val="1725671872"/>
      </c:barChart>
      <c:catAx>
        <c:axId val="1725670432"/>
        <c:scaling>
          <c:orientation val="minMax"/>
        </c:scaling>
        <c:delete val="0"/>
        <c:axPos val="l"/>
        <c:numFmt formatCode="@"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5671872"/>
        <c:crosses val="autoZero"/>
        <c:auto val="1"/>
        <c:lblAlgn val="ctr"/>
        <c:lblOffset val="100"/>
        <c:noMultiLvlLbl val="0"/>
      </c:catAx>
      <c:valAx>
        <c:axId val="1725671872"/>
        <c:scaling>
          <c:orientation val="minMax"/>
          <c:max val="4"/>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670432"/>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550961</xdr:colOff>
      <xdr:row>17</xdr:row>
      <xdr:rowOff>70237</xdr:rowOff>
    </xdr:from>
    <xdr:to>
      <xdr:col>7</xdr:col>
      <xdr:colOff>611921</xdr:colOff>
      <xdr:row>43</xdr:row>
      <xdr:rowOff>66428</xdr:rowOff>
    </xdr:to>
    <xdr:graphicFrame macro="">
      <xdr:nvGraphicFramePr>
        <xdr:cNvPr id="3" name="Chart 2">
          <a:extLst>
            <a:ext uri="{FF2B5EF4-FFF2-40B4-BE49-F238E27FC236}">
              <a16:creationId xmlns:a16="http://schemas.microsoft.com/office/drawing/2014/main" id="{8A60675D-D39B-5272-B9CF-B455BE63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abSelected="1" zoomScale="70" zoomScaleNormal="70" workbookViewId="0">
      <selection activeCell="H9" sqref="H9"/>
    </sheetView>
  </sheetViews>
  <sheetFormatPr defaultRowHeight="18" x14ac:dyDescent="0.35"/>
  <cols>
    <col min="1" max="1" width="3.6640625" customWidth="1"/>
    <col min="2" max="2" width="22.5546875" style="5" customWidth="1"/>
    <col min="3" max="3" width="21.109375" style="6" customWidth="1"/>
    <col min="4" max="4" width="41.5546875" customWidth="1"/>
    <col min="5" max="5" width="9.5546875" style="24" customWidth="1"/>
    <col min="6" max="6" width="54.5546875" customWidth="1"/>
    <col min="7" max="7" width="9.5546875" style="24" customWidth="1"/>
    <col min="8" max="8" width="65" customWidth="1"/>
    <col min="9" max="9" width="9.5546875" style="24" customWidth="1"/>
    <col min="10" max="10" width="55.5546875" customWidth="1"/>
    <col min="11" max="11" width="9.5546875" style="24" customWidth="1"/>
    <col min="12" max="12" width="38.88671875" customWidth="1"/>
    <col min="13" max="14" width="36.5546875" bestFit="1" customWidth="1"/>
    <col min="15" max="47" width="9.109375"/>
  </cols>
  <sheetData>
    <row r="2" spans="2:47" ht="24" thickBot="1" x14ac:dyDescent="0.5">
      <c r="B2" s="68" t="s">
        <v>83</v>
      </c>
    </row>
    <row r="3" spans="2:47" ht="18.600000000000001" thickTop="1" x14ac:dyDescent="0.35"/>
    <row r="4" spans="2:47" x14ac:dyDescent="0.35">
      <c r="B4" s="70" t="s">
        <v>81</v>
      </c>
    </row>
    <row r="5" spans="2:47" x14ac:dyDescent="0.35">
      <c r="B5" s="5" t="s">
        <v>85</v>
      </c>
    </row>
    <row r="6" spans="2:47" ht="36.6" customHeight="1" x14ac:dyDescent="0.35">
      <c r="B6" s="77" t="s">
        <v>86</v>
      </c>
      <c r="C6" s="77"/>
      <c r="D6" s="77"/>
      <c r="E6" s="78" t="s">
        <v>82</v>
      </c>
      <c r="F6" s="78"/>
    </row>
    <row r="7" spans="2:47" x14ac:dyDescent="0.35">
      <c r="B7" s="5" t="s">
        <v>87</v>
      </c>
      <c r="E7" s="71" t="str">
        <f>_xlfn.TEXTJOIN(";",FALSE,'Summary (to be hidden)'!I2:I14)</f>
        <v>DRM Pillar,Thematic Area,Legal and institutional set up,Intermediary DRM outputs,Key DRM achievements,Policy enablers;Legal and Institutional DRM Framework,DRM policies and institutions,1,0,1,0;Legal and Institutional DRM Framework,Mainstreaming DRM into national and sectoral development plans,0,0,1,1;Risk Identification,Risk identification,0,0.5,0,1;Risk Reduction,Territorial and urban planning,1,1,1,1;Risk Reduction,Public investment at the central level,0,0,0,0;Risk Reduction,Sector-specific risk reduction measures,0.875,0.5,0.5,1;Preparedness,Early warning systems,1,0,1,1;Preparedness,Emergency preparedness and response,0,0,1,1;Preparedness,Adaptive social protection,0,0,0,0;Financial Protection,Fiscal risk management,0,0,0,0;Financial Protection,DRF strategies and instruments,0,0,0,0;Resilient Reconstruction,Resilient reconstruction,0,0,0,0</v>
      </c>
    </row>
    <row r="9" spans="2:47" x14ac:dyDescent="0.35">
      <c r="B9" s="5" t="s">
        <v>84</v>
      </c>
      <c r="E9" s="67">
        <f>64-(COUNTIF('Diagnostic Questions'!D12:K50,"YES")+COUNTIF('Diagnostic Questions'!D12:K50,"NO"))</f>
        <v>21</v>
      </c>
    </row>
    <row r="10" spans="2:47" ht="15.6" x14ac:dyDescent="0.3">
      <c r="B10" s="69" t="s">
        <v>68</v>
      </c>
    </row>
    <row r="11" spans="2:47" ht="18.600000000000001" thickBot="1" x14ac:dyDescent="0.4"/>
    <row r="12" spans="2:47" ht="40.5" customHeight="1" thickBot="1" x14ac:dyDescent="0.35">
      <c r="B12" s="37" t="s">
        <v>0</v>
      </c>
      <c r="C12" s="38" t="s">
        <v>88</v>
      </c>
      <c r="D12" s="101" t="s">
        <v>1</v>
      </c>
      <c r="E12" s="103"/>
      <c r="F12" s="101" t="s">
        <v>60</v>
      </c>
      <c r="G12" s="103"/>
      <c r="H12" s="101" t="s">
        <v>2</v>
      </c>
      <c r="I12" s="103"/>
      <c r="J12" s="101" t="s">
        <v>3</v>
      </c>
      <c r="K12" s="102"/>
      <c r="L12" s="33"/>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87" customHeight="1" x14ac:dyDescent="0.3">
      <c r="B13" s="72" t="s">
        <v>4</v>
      </c>
      <c r="C13" s="138" t="s">
        <v>5</v>
      </c>
      <c r="D13" s="104" t="s">
        <v>97</v>
      </c>
      <c r="E13" s="105"/>
      <c r="F13" s="104" t="s">
        <v>6</v>
      </c>
      <c r="G13" s="105"/>
      <c r="H13" s="144" t="s">
        <v>106</v>
      </c>
      <c r="I13" s="106"/>
      <c r="J13" s="99" t="s">
        <v>98</v>
      </c>
      <c r="K13" s="100"/>
      <c r="L13" s="25"/>
    </row>
    <row r="14" spans="2:47" s="1" customFormat="1" ht="18" customHeight="1" x14ac:dyDescent="0.3">
      <c r="B14" s="73"/>
      <c r="C14" s="139"/>
      <c r="D14" s="41" t="s">
        <v>7</v>
      </c>
      <c r="E14" s="66" t="s">
        <v>89</v>
      </c>
      <c r="F14" s="26" t="s">
        <v>7</v>
      </c>
      <c r="G14" s="11" t="s">
        <v>96</v>
      </c>
      <c r="H14" s="26" t="s">
        <v>61</v>
      </c>
      <c r="I14" s="11" t="s">
        <v>89</v>
      </c>
      <c r="J14" s="26" t="s">
        <v>61</v>
      </c>
      <c r="K14" s="18" t="s">
        <v>96</v>
      </c>
      <c r="L14" s="25"/>
    </row>
    <row r="15" spans="2:47" s="1" customFormat="1" ht="18" customHeight="1" x14ac:dyDescent="0.3">
      <c r="B15" s="73"/>
      <c r="C15" s="140"/>
      <c r="D15" s="44"/>
      <c r="E15" s="48"/>
      <c r="F15" s="44"/>
      <c r="G15" s="48"/>
      <c r="H15" s="46"/>
      <c r="I15" s="48"/>
      <c r="J15" s="26" t="s">
        <v>62</v>
      </c>
      <c r="K15" s="18" t="s">
        <v>96</v>
      </c>
      <c r="L15" s="25"/>
    </row>
    <row r="16" spans="2:47" s="1" customFormat="1" ht="18" customHeight="1" x14ac:dyDescent="0.3">
      <c r="B16" s="73"/>
      <c r="C16" s="140"/>
      <c r="D16" s="44"/>
      <c r="E16" s="48"/>
      <c r="F16" s="44"/>
      <c r="G16" s="48"/>
      <c r="H16" s="28" t="s">
        <v>62</v>
      </c>
      <c r="I16" s="11" t="s">
        <v>89</v>
      </c>
      <c r="J16" s="49" t="s">
        <v>63</v>
      </c>
      <c r="K16" s="50" t="s">
        <v>96</v>
      </c>
      <c r="L16" s="25"/>
    </row>
    <row r="17" spans="2:14" s="1" customFormat="1" ht="18" customHeight="1" x14ac:dyDescent="0.3">
      <c r="B17" s="73"/>
      <c r="C17" s="141"/>
      <c r="D17" s="45"/>
      <c r="E17" s="48"/>
      <c r="F17" s="45"/>
      <c r="G17" s="48"/>
      <c r="H17" s="47"/>
      <c r="I17" s="48"/>
      <c r="J17" s="47"/>
      <c r="K17" s="51"/>
      <c r="L17" s="25"/>
    </row>
    <row r="18" spans="2:14" ht="85.2" customHeight="1" x14ac:dyDescent="0.3">
      <c r="B18" s="73"/>
      <c r="C18" s="75" t="s">
        <v>8</v>
      </c>
      <c r="D18" s="107" t="s">
        <v>9</v>
      </c>
      <c r="E18" s="115"/>
      <c r="F18" s="116" t="s">
        <v>107</v>
      </c>
      <c r="G18" s="115"/>
      <c r="H18" s="116" t="s">
        <v>67</v>
      </c>
      <c r="I18" s="117"/>
      <c r="J18" s="107" t="s">
        <v>10</v>
      </c>
      <c r="K18" s="108"/>
      <c r="L18" s="34"/>
      <c r="N18" s="3"/>
    </row>
    <row r="19" spans="2:14" ht="18" customHeight="1" thickBot="1" x14ac:dyDescent="0.35">
      <c r="B19" s="74"/>
      <c r="C19" s="76"/>
      <c r="D19" s="27" t="s">
        <v>7</v>
      </c>
      <c r="E19" s="19"/>
      <c r="F19" s="27" t="s">
        <v>7</v>
      </c>
      <c r="G19" s="19" t="s">
        <v>96</v>
      </c>
      <c r="H19" s="27" t="s">
        <v>7</v>
      </c>
      <c r="I19" s="19" t="s">
        <v>89</v>
      </c>
      <c r="J19" s="27" t="s">
        <v>7</v>
      </c>
      <c r="K19" s="20" t="s">
        <v>89</v>
      </c>
      <c r="L19" s="35"/>
      <c r="N19" s="3"/>
    </row>
    <row r="20" spans="2:14" ht="74.25" customHeight="1" x14ac:dyDescent="0.3">
      <c r="B20" s="79" t="s">
        <v>11</v>
      </c>
      <c r="C20" s="82" t="s">
        <v>12</v>
      </c>
      <c r="D20" s="109" t="s">
        <v>56</v>
      </c>
      <c r="E20" s="110"/>
      <c r="F20" s="109" t="s">
        <v>13</v>
      </c>
      <c r="G20" s="110"/>
      <c r="H20" s="109" t="s">
        <v>57</v>
      </c>
      <c r="I20" s="110"/>
      <c r="J20" s="109" t="s">
        <v>14</v>
      </c>
      <c r="K20" s="111"/>
      <c r="L20" s="25"/>
    </row>
    <row r="21" spans="2:14" ht="18" customHeight="1" x14ac:dyDescent="0.3">
      <c r="B21" s="81"/>
      <c r="C21" s="90"/>
      <c r="D21" s="9" t="s">
        <v>7</v>
      </c>
      <c r="E21" s="11" t="s">
        <v>96</v>
      </c>
      <c r="F21" s="10" t="s">
        <v>61</v>
      </c>
      <c r="G21" s="11" t="s">
        <v>96</v>
      </c>
      <c r="H21" s="7" t="s">
        <v>7</v>
      </c>
      <c r="I21" s="11" t="s">
        <v>96</v>
      </c>
      <c r="J21" s="9" t="s">
        <v>7</v>
      </c>
      <c r="K21" s="18" t="s">
        <v>89</v>
      </c>
      <c r="L21" s="25"/>
    </row>
    <row r="22" spans="2:14" ht="18" customHeight="1" thickBot="1" x14ac:dyDescent="0.35">
      <c r="B22" s="80"/>
      <c r="C22" s="85"/>
      <c r="D22" s="14"/>
      <c r="E22" s="58"/>
      <c r="F22" s="15" t="s">
        <v>62</v>
      </c>
      <c r="G22" s="19" t="s">
        <v>89</v>
      </c>
      <c r="H22" s="52"/>
      <c r="I22" s="58"/>
      <c r="J22" s="52"/>
      <c r="K22" s="60"/>
      <c r="L22" s="25"/>
    </row>
    <row r="23" spans="2:14" ht="74.25" customHeight="1" x14ac:dyDescent="0.3">
      <c r="B23" s="72" t="s">
        <v>15</v>
      </c>
      <c r="C23" s="86" t="s">
        <v>16</v>
      </c>
      <c r="D23" s="113" t="s">
        <v>99</v>
      </c>
      <c r="E23" s="114"/>
      <c r="F23" s="113" t="s">
        <v>17</v>
      </c>
      <c r="G23" s="114"/>
      <c r="H23" s="113" t="s">
        <v>18</v>
      </c>
      <c r="I23" s="114"/>
      <c r="J23" s="104" t="s">
        <v>19</v>
      </c>
      <c r="K23" s="112"/>
      <c r="L23" s="25"/>
    </row>
    <row r="24" spans="2:14" ht="18" customHeight="1" x14ac:dyDescent="0.3">
      <c r="B24" s="73"/>
      <c r="C24" s="96"/>
      <c r="D24" s="26" t="s">
        <v>7</v>
      </c>
      <c r="E24" s="11" t="s">
        <v>89</v>
      </c>
      <c r="F24" s="26" t="s">
        <v>7</v>
      </c>
      <c r="G24" s="11" t="s">
        <v>89</v>
      </c>
      <c r="H24" s="26" t="s">
        <v>7</v>
      </c>
      <c r="I24" s="11" t="s">
        <v>89</v>
      </c>
      <c r="J24" s="28" t="s">
        <v>66</v>
      </c>
      <c r="K24" s="18" t="s">
        <v>89</v>
      </c>
      <c r="L24" s="25"/>
    </row>
    <row r="25" spans="2:14" ht="18" customHeight="1" x14ac:dyDescent="0.3">
      <c r="B25" s="73"/>
      <c r="C25" s="87"/>
      <c r="D25" s="45"/>
      <c r="E25" s="48"/>
      <c r="F25" s="45"/>
      <c r="G25" s="48"/>
      <c r="H25" s="45"/>
      <c r="I25" s="48"/>
      <c r="J25" s="29" t="s">
        <v>62</v>
      </c>
      <c r="K25" s="23" t="s">
        <v>89</v>
      </c>
      <c r="L25" s="25"/>
    </row>
    <row r="26" spans="2:14" ht="88.5" customHeight="1" x14ac:dyDescent="0.3">
      <c r="B26" s="73"/>
      <c r="C26" s="75" t="s">
        <v>20</v>
      </c>
      <c r="D26" s="94" t="s">
        <v>21</v>
      </c>
      <c r="E26" s="95"/>
      <c r="F26" s="94" t="s">
        <v>100</v>
      </c>
      <c r="G26" s="95"/>
      <c r="H26" s="94" t="s">
        <v>22</v>
      </c>
      <c r="I26" s="95"/>
      <c r="J26" s="97" t="s">
        <v>23</v>
      </c>
      <c r="K26" s="143"/>
      <c r="L26" s="25"/>
    </row>
    <row r="27" spans="2:14" ht="18" customHeight="1" x14ac:dyDescent="0.3">
      <c r="B27" s="73"/>
      <c r="C27" s="96"/>
      <c r="D27" s="26" t="s">
        <v>7</v>
      </c>
      <c r="E27" s="11" t="s">
        <v>96</v>
      </c>
      <c r="F27" s="26" t="s">
        <v>7</v>
      </c>
      <c r="G27" s="11" t="s">
        <v>96</v>
      </c>
      <c r="H27" s="26" t="s">
        <v>7</v>
      </c>
      <c r="I27" s="11"/>
      <c r="J27" s="28" t="s">
        <v>61</v>
      </c>
      <c r="K27" s="18"/>
      <c r="L27" s="25"/>
    </row>
    <row r="28" spans="2:14" ht="18" customHeight="1" x14ac:dyDescent="0.3">
      <c r="B28" s="73"/>
      <c r="C28" s="87"/>
      <c r="D28" s="45"/>
      <c r="E28" s="48"/>
      <c r="F28" s="45"/>
      <c r="G28" s="59"/>
      <c r="H28" s="45"/>
      <c r="I28" s="48"/>
      <c r="J28" s="29" t="s">
        <v>62</v>
      </c>
      <c r="K28" s="23"/>
      <c r="L28" s="25"/>
    </row>
    <row r="29" spans="2:14" ht="103.2" customHeight="1" x14ac:dyDescent="0.3">
      <c r="B29" s="73"/>
      <c r="C29" s="75" t="s">
        <v>24</v>
      </c>
      <c r="D29" s="97" t="s">
        <v>25</v>
      </c>
      <c r="E29" s="142"/>
      <c r="F29" s="118" t="s">
        <v>26</v>
      </c>
      <c r="G29" s="118"/>
      <c r="H29" s="97" t="s">
        <v>58</v>
      </c>
      <c r="I29" s="142"/>
      <c r="J29" s="97" t="s">
        <v>27</v>
      </c>
      <c r="K29" s="143"/>
      <c r="L29" s="25"/>
      <c r="M29" s="4"/>
    </row>
    <row r="30" spans="2:14" ht="18" customHeight="1" x14ac:dyDescent="0.3">
      <c r="B30" s="73"/>
      <c r="C30" s="96"/>
      <c r="D30" s="28" t="s">
        <v>61</v>
      </c>
      <c r="E30" s="11" t="s">
        <v>89</v>
      </c>
      <c r="F30" s="48" t="s">
        <v>7</v>
      </c>
      <c r="G30" s="11" t="s">
        <v>89</v>
      </c>
      <c r="H30" s="41" t="s">
        <v>7</v>
      </c>
      <c r="I30" s="11" t="s">
        <v>96</v>
      </c>
      <c r="J30" s="26" t="s">
        <v>7</v>
      </c>
      <c r="K30" s="18" t="s">
        <v>89</v>
      </c>
      <c r="L30" s="25"/>
      <c r="M30" s="4"/>
    </row>
    <row r="31" spans="2:14" ht="18" customHeight="1" x14ac:dyDescent="0.3">
      <c r="B31" s="73"/>
      <c r="C31" s="96"/>
      <c r="D31" s="28" t="s">
        <v>62</v>
      </c>
      <c r="E31" s="11" t="s">
        <v>89</v>
      </c>
      <c r="F31" s="53"/>
      <c r="G31" s="48"/>
      <c r="H31" s="42"/>
      <c r="I31" s="48"/>
      <c r="J31" s="44"/>
      <c r="K31" s="63"/>
      <c r="L31" s="25"/>
      <c r="M31" s="4"/>
    </row>
    <row r="32" spans="2:14" ht="18" customHeight="1" x14ac:dyDescent="0.3">
      <c r="B32" s="73"/>
      <c r="C32" s="96"/>
      <c r="D32" s="28" t="s">
        <v>64</v>
      </c>
      <c r="E32" s="11" t="s">
        <v>96</v>
      </c>
      <c r="F32" s="53"/>
      <c r="G32" s="48"/>
      <c r="H32" s="42"/>
      <c r="I32" s="48"/>
      <c r="J32" s="44"/>
      <c r="K32" s="63"/>
      <c r="L32" s="25"/>
      <c r="M32" s="4"/>
    </row>
    <row r="33" spans="2:13" ht="18" customHeight="1" x14ac:dyDescent="0.3">
      <c r="B33" s="73"/>
      <c r="C33" s="96"/>
      <c r="D33" s="29" t="s">
        <v>65</v>
      </c>
      <c r="E33" s="22" t="s">
        <v>89</v>
      </c>
      <c r="F33" s="53"/>
      <c r="G33" s="48"/>
      <c r="H33" s="43"/>
      <c r="I33" s="59"/>
      <c r="J33" s="45"/>
      <c r="K33" s="63"/>
      <c r="L33" s="25"/>
      <c r="M33" s="4"/>
    </row>
    <row r="34" spans="2:13" ht="64.5" customHeight="1" x14ac:dyDescent="0.3">
      <c r="B34" s="73"/>
      <c r="C34" s="96"/>
      <c r="D34" s="97" t="s">
        <v>101</v>
      </c>
      <c r="E34" s="98"/>
      <c r="F34" s="97" t="s">
        <v>102</v>
      </c>
      <c r="G34" s="142"/>
      <c r="H34" s="118" t="s">
        <v>28</v>
      </c>
      <c r="I34" s="118"/>
      <c r="J34" s="97" t="s">
        <v>29</v>
      </c>
      <c r="K34" s="119"/>
      <c r="L34" s="25"/>
    </row>
    <row r="35" spans="2:13" ht="18" customHeight="1" x14ac:dyDescent="0.3">
      <c r="B35" s="73"/>
      <c r="C35" s="96"/>
      <c r="D35" s="26" t="s">
        <v>7</v>
      </c>
      <c r="E35" s="11" t="s">
        <v>89</v>
      </c>
      <c r="F35" s="26" t="s">
        <v>7</v>
      </c>
      <c r="G35" s="11" t="s">
        <v>96</v>
      </c>
      <c r="H35" s="30" t="s">
        <v>61</v>
      </c>
      <c r="I35" s="11" t="s">
        <v>89</v>
      </c>
      <c r="J35" s="55" t="s">
        <v>7</v>
      </c>
      <c r="K35" s="18" t="s">
        <v>89</v>
      </c>
      <c r="L35" s="25"/>
    </row>
    <row r="36" spans="2:13" ht="18" customHeight="1" thickBot="1" x14ac:dyDescent="0.35">
      <c r="B36" s="74"/>
      <c r="C36" s="76"/>
      <c r="D36" s="54"/>
      <c r="E36" s="61"/>
      <c r="F36" s="54"/>
      <c r="G36" s="65"/>
      <c r="H36" s="31" t="s">
        <v>62</v>
      </c>
      <c r="I36" s="19" t="s">
        <v>89</v>
      </c>
      <c r="J36" s="54"/>
      <c r="K36" s="62"/>
      <c r="L36" s="25"/>
    </row>
    <row r="37" spans="2:13" ht="74.25" customHeight="1" x14ac:dyDescent="0.3">
      <c r="B37" s="79" t="s">
        <v>30</v>
      </c>
      <c r="C37" s="82" t="s">
        <v>31</v>
      </c>
      <c r="D37" s="120" t="s">
        <v>59</v>
      </c>
      <c r="E37" s="125"/>
      <c r="F37" s="120" t="s">
        <v>32</v>
      </c>
      <c r="G37" s="125"/>
      <c r="H37" s="120" t="s">
        <v>33</v>
      </c>
      <c r="I37" s="125"/>
      <c r="J37" s="120" t="s">
        <v>34</v>
      </c>
      <c r="K37" s="121"/>
      <c r="L37" s="36"/>
    </row>
    <row r="38" spans="2:13" ht="19.95" customHeight="1" thickBot="1" x14ac:dyDescent="0.35">
      <c r="B38" s="81"/>
      <c r="C38" s="83"/>
      <c r="D38" s="12" t="s">
        <v>7</v>
      </c>
      <c r="E38" s="22" t="s">
        <v>89</v>
      </c>
      <c r="F38" s="12" t="s">
        <v>7</v>
      </c>
      <c r="G38" s="22" t="s">
        <v>96</v>
      </c>
      <c r="H38" s="12" t="s">
        <v>7</v>
      </c>
      <c r="I38" s="22" t="s">
        <v>89</v>
      </c>
      <c r="J38" s="12" t="s">
        <v>7</v>
      </c>
      <c r="K38" s="20" t="s">
        <v>89</v>
      </c>
      <c r="L38" s="36"/>
    </row>
    <row r="39" spans="2:13" ht="63" customHeight="1" x14ac:dyDescent="0.3">
      <c r="B39" s="81"/>
      <c r="C39" s="84" t="s">
        <v>35</v>
      </c>
      <c r="D39" s="124" t="s">
        <v>36</v>
      </c>
      <c r="E39" s="123"/>
      <c r="F39" s="122" t="s">
        <v>37</v>
      </c>
      <c r="G39" s="123"/>
      <c r="H39" s="129" t="s">
        <v>103</v>
      </c>
      <c r="I39" s="130"/>
      <c r="J39" s="124" t="s">
        <v>38</v>
      </c>
      <c r="K39" s="126"/>
      <c r="L39" s="1"/>
      <c r="M39" s="4"/>
    </row>
    <row r="40" spans="2:13" ht="18" customHeight="1" x14ac:dyDescent="0.3">
      <c r="B40" s="81"/>
      <c r="C40" s="90"/>
      <c r="D40" s="13" t="s">
        <v>7</v>
      </c>
      <c r="E40" s="11" t="s">
        <v>96</v>
      </c>
      <c r="F40" s="13" t="s">
        <v>7</v>
      </c>
      <c r="G40" s="11" t="s">
        <v>96</v>
      </c>
      <c r="H40" s="13" t="s">
        <v>66</v>
      </c>
      <c r="I40" s="11" t="s">
        <v>89</v>
      </c>
      <c r="J40" s="8" t="s">
        <v>7</v>
      </c>
      <c r="K40" s="18" t="s">
        <v>89</v>
      </c>
      <c r="L40" s="1"/>
      <c r="M40" s="4"/>
    </row>
    <row r="41" spans="2:13" ht="18" customHeight="1" x14ac:dyDescent="0.3">
      <c r="B41" s="81"/>
      <c r="C41" s="83"/>
      <c r="D41" s="21"/>
      <c r="E41" s="57"/>
      <c r="F41" s="21"/>
      <c r="G41" s="57"/>
      <c r="H41" s="12" t="s">
        <v>62</v>
      </c>
      <c r="I41" s="22" t="s">
        <v>89</v>
      </c>
      <c r="J41" s="21"/>
      <c r="K41" s="64"/>
      <c r="L41" s="1"/>
      <c r="M41" s="4"/>
    </row>
    <row r="42" spans="2:13" ht="58.5" customHeight="1" x14ac:dyDescent="0.3">
      <c r="B42" s="81"/>
      <c r="C42" s="84" t="s">
        <v>39</v>
      </c>
      <c r="D42" s="122" t="s">
        <v>40</v>
      </c>
      <c r="E42" s="123"/>
      <c r="F42" s="122" t="s">
        <v>41</v>
      </c>
      <c r="G42" s="123"/>
      <c r="H42" s="128" t="s">
        <v>104</v>
      </c>
      <c r="I42" s="128"/>
      <c r="J42" s="122" t="s">
        <v>42</v>
      </c>
      <c r="K42" s="127"/>
      <c r="L42" s="25"/>
    </row>
    <row r="43" spans="2:13" ht="18" customHeight="1" thickBot="1" x14ac:dyDescent="0.35">
      <c r="B43" s="80"/>
      <c r="C43" s="85"/>
      <c r="D43" s="16" t="s">
        <v>7</v>
      </c>
      <c r="E43" s="19"/>
      <c r="F43" s="16" t="s">
        <v>7</v>
      </c>
      <c r="G43" s="19"/>
      <c r="H43" s="17" t="s">
        <v>7</v>
      </c>
      <c r="I43" s="19"/>
      <c r="J43" s="16" t="s">
        <v>7</v>
      </c>
      <c r="K43" s="20"/>
      <c r="L43" s="25"/>
    </row>
    <row r="44" spans="2:13" ht="66" customHeight="1" x14ac:dyDescent="0.3">
      <c r="B44" s="72" t="s">
        <v>43</v>
      </c>
      <c r="C44" s="86" t="s">
        <v>44</v>
      </c>
      <c r="D44" s="113" t="s">
        <v>45</v>
      </c>
      <c r="E44" s="114"/>
      <c r="F44" s="113" t="s">
        <v>46</v>
      </c>
      <c r="G44" s="114"/>
      <c r="H44" s="113" t="s">
        <v>108</v>
      </c>
      <c r="I44" s="114"/>
      <c r="J44" s="113" t="s">
        <v>47</v>
      </c>
      <c r="K44" s="133"/>
      <c r="L44" s="1"/>
    </row>
    <row r="45" spans="2:13" ht="18" customHeight="1" x14ac:dyDescent="0.3">
      <c r="B45" s="73"/>
      <c r="C45" s="87"/>
      <c r="D45" s="29" t="s">
        <v>7</v>
      </c>
      <c r="E45" s="22"/>
      <c r="F45" s="29" t="s">
        <v>7</v>
      </c>
      <c r="G45" s="22"/>
      <c r="H45" s="29" t="s">
        <v>7</v>
      </c>
      <c r="I45" s="22"/>
      <c r="J45" s="29" t="s">
        <v>7</v>
      </c>
      <c r="K45" s="23"/>
      <c r="L45" s="1"/>
    </row>
    <row r="46" spans="2:13" ht="74.400000000000006" customHeight="1" x14ac:dyDescent="0.3">
      <c r="B46" s="73"/>
      <c r="C46" s="91" t="s">
        <v>48</v>
      </c>
      <c r="D46" s="94" t="s">
        <v>109</v>
      </c>
      <c r="E46" s="137"/>
      <c r="F46" s="131" t="s">
        <v>49</v>
      </c>
      <c r="G46" s="132"/>
      <c r="H46" s="137" t="s">
        <v>105</v>
      </c>
      <c r="I46" s="137"/>
      <c r="J46" s="131" t="s">
        <v>50</v>
      </c>
      <c r="K46" s="134"/>
      <c r="L46" s="1"/>
    </row>
    <row r="47" spans="2:13" ht="18" customHeight="1" x14ac:dyDescent="0.3">
      <c r="B47" s="73"/>
      <c r="C47" s="92"/>
      <c r="D47" s="26" t="s">
        <v>7</v>
      </c>
      <c r="E47" s="11"/>
      <c r="F47" s="28" t="s">
        <v>61</v>
      </c>
      <c r="G47" s="11"/>
      <c r="H47" s="55" t="s">
        <v>7</v>
      </c>
      <c r="I47" s="11"/>
      <c r="J47" s="26" t="s">
        <v>7</v>
      </c>
      <c r="K47" s="18"/>
      <c r="L47" s="1"/>
    </row>
    <row r="48" spans="2:13" ht="18" customHeight="1" thickBot="1" x14ac:dyDescent="0.35">
      <c r="B48" s="74"/>
      <c r="C48" s="93"/>
      <c r="D48" s="54"/>
      <c r="E48" s="61"/>
      <c r="F48" s="32" t="s">
        <v>62</v>
      </c>
      <c r="G48" s="19"/>
      <c r="H48" s="56"/>
      <c r="I48" s="61"/>
      <c r="J48" s="54"/>
      <c r="K48" s="62"/>
      <c r="L48" s="1"/>
    </row>
    <row r="49" spans="2:12" ht="64.5" customHeight="1" x14ac:dyDescent="0.3">
      <c r="B49" s="79" t="s">
        <v>51</v>
      </c>
      <c r="C49" s="88" t="s">
        <v>12</v>
      </c>
      <c r="D49" s="120" t="s">
        <v>52</v>
      </c>
      <c r="E49" s="125"/>
      <c r="F49" s="120" t="s">
        <v>53</v>
      </c>
      <c r="G49" s="125"/>
      <c r="H49" s="120" t="s">
        <v>54</v>
      </c>
      <c r="I49" s="125"/>
      <c r="J49" s="135" t="s">
        <v>55</v>
      </c>
      <c r="K49" s="136"/>
      <c r="L49" s="1"/>
    </row>
    <row r="50" spans="2:12" ht="18" customHeight="1" thickBot="1" x14ac:dyDescent="0.35">
      <c r="B50" s="80"/>
      <c r="C50" s="89"/>
      <c r="D50" s="14" t="s">
        <v>7</v>
      </c>
      <c r="E50" s="19"/>
      <c r="F50" s="14" t="s">
        <v>7</v>
      </c>
      <c r="G50" s="19"/>
      <c r="H50" s="14" t="s">
        <v>7</v>
      </c>
      <c r="I50" s="19"/>
      <c r="J50" s="14" t="s">
        <v>7</v>
      </c>
      <c r="K50" s="20"/>
      <c r="L50" s="1"/>
    </row>
  </sheetData>
  <mergeCells count="76">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 ref="D49:E49"/>
    <mergeCell ref="F49:G49"/>
    <mergeCell ref="F46:G46"/>
    <mergeCell ref="F44:G44"/>
    <mergeCell ref="J44:K44"/>
    <mergeCell ref="J46:K46"/>
    <mergeCell ref="J49:K49"/>
    <mergeCell ref="H49:I49"/>
    <mergeCell ref="H46:I46"/>
    <mergeCell ref="H44:I44"/>
    <mergeCell ref="H34:I34"/>
    <mergeCell ref="J34:K34"/>
    <mergeCell ref="J37:K37"/>
    <mergeCell ref="D42:E42"/>
    <mergeCell ref="D39:E39"/>
    <mergeCell ref="D37:E37"/>
    <mergeCell ref="F37:G37"/>
    <mergeCell ref="J39:K39"/>
    <mergeCell ref="J42:K42"/>
    <mergeCell ref="H42:I42"/>
    <mergeCell ref="H39:I39"/>
    <mergeCell ref="F39:G39"/>
    <mergeCell ref="F42:G42"/>
    <mergeCell ref="J18:K18"/>
    <mergeCell ref="C23:C25"/>
    <mergeCell ref="H20:I20"/>
    <mergeCell ref="J20:K20"/>
    <mergeCell ref="J23:K23"/>
    <mergeCell ref="F20:G20"/>
    <mergeCell ref="F23:G23"/>
    <mergeCell ref="D18:E18"/>
    <mergeCell ref="F18:G18"/>
    <mergeCell ref="H18:I18"/>
    <mergeCell ref="C20:C22"/>
    <mergeCell ref="D23:E23"/>
    <mergeCell ref="D20:E20"/>
    <mergeCell ref="J13:K13"/>
    <mergeCell ref="J12:K12"/>
    <mergeCell ref="D12:E12"/>
    <mergeCell ref="D13:E13"/>
    <mergeCell ref="F12:G12"/>
    <mergeCell ref="F13:G13"/>
    <mergeCell ref="H12:I12"/>
    <mergeCell ref="H13:I13"/>
    <mergeCell ref="B13:B19"/>
    <mergeCell ref="C18:C19"/>
    <mergeCell ref="B6:D6"/>
    <mergeCell ref="E6:F6"/>
    <mergeCell ref="B49:B50"/>
    <mergeCell ref="B37:B43"/>
    <mergeCell ref="C37:C38"/>
    <mergeCell ref="C42:C43"/>
    <mergeCell ref="C44:C45"/>
    <mergeCell ref="C49:C50"/>
    <mergeCell ref="C39:C41"/>
    <mergeCell ref="C46:C48"/>
    <mergeCell ref="B20:B22"/>
    <mergeCell ref="D26:E26"/>
    <mergeCell ref="C26:C28"/>
    <mergeCell ref="D34:E34"/>
  </mergeCells>
  <dataValidations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16"/>
  <sheetViews>
    <sheetView showGridLines="0" zoomScale="85" zoomScaleNormal="85" workbookViewId="0">
      <selection activeCell="K28" sqref="K28"/>
    </sheetView>
  </sheetViews>
  <sheetFormatPr defaultRowHeight="14.4" x14ac:dyDescent="0.3"/>
  <cols>
    <col min="1" max="1" width="3.109375" customWidth="1"/>
    <col min="2" max="2" width="32.33203125" bestFit="1" customWidth="1"/>
    <col min="3" max="3" width="57.33203125" bestFit="1" customWidth="1"/>
    <col min="4" max="4" width="16.6640625" bestFit="1" customWidth="1"/>
    <col min="5" max="7" width="15.6640625" customWidth="1"/>
    <col min="8" max="8" width="11" customWidth="1"/>
  </cols>
  <sheetData>
    <row r="2" spans="2:9" ht="31.2" customHeight="1" x14ac:dyDescent="0.3">
      <c r="B2" s="39" t="s">
        <v>0</v>
      </c>
      <c r="C2" s="39" t="s">
        <v>88</v>
      </c>
      <c r="D2" s="40" t="s">
        <v>1</v>
      </c>
      <c r="E2" s="40" t="s">
        <v>60</v>
      </c>
      <c r="F2" s="40" t="s">
        <v>2</v>
      </c>
      <c r="G2" s="40" t="s">
        <v>3</v>
      </c>
      <c r="I2" t="str">
        <f>_xlfn.TEXTJOIN(",",FALSE,B2:G2)</f>
        <v>DRM Pillar,Thematic Area,Legal and institutional set up,Intermediary DRM outputs,Key DRM achievements,Policy enablers</v>
      </c>
    </row>
    <row r="3" spans="2:9" x14ac:dyDescent="0.3">
      <c r="B3" s="39" t="s">
        <v>77</v>
      </c>
      <c r="C3" s="39" t="s">
        <v>69</v>
      </c>
      <c r="D3" s="39">
        <f>IF('Diagnostic Questions'!E14="Yes",1,0)</f>
        <v>1</v>
      </c>
      <c r="E3">
        <f>IF('Diagnostic Questions'!G14="Yes",1,0)</f>
        <v>0</v>
      </c>
      <c r="F3" s="39">
        <f>0.5*IF('Diagnostic Questions'!I14="Yes",1,0) + 0.5*IF('Diagnostic Questions'!I16="Yes",1,0)</f>
        <v>1</v>
      </c>
      <c r="G3" s="39">
        <f>ROUND(0.3333*IF('Diagnostic Questions'!K14="Yes",1,0) + 0.3333*IF('Diagnostic Questions'!K15="Yes",1,0) + 0.3333*IF('Diagnostic Questions'!K16="Yes",1,0),2)</f>
        <v>0</v>
      </c>
      <c r="I3" t="str">
        <f>_xlfn.TEXTJOIN(",",FALSE,B3:G3)</f>
        <v>Legal and Institutional DRM Framework,DRM policies and institutions,1,0,1,0</v>
      </c>
    </row>
    <row r="4" spans="2:9" x14ac:dyDescent="0.3">
      <c r="B4" s="39" t="s">
        <v>77</v>
      </c>
      <c r="C4" s="39" t="s">
        <v>70</v>
      </c>
      <c r="D4" s="39">
        <f>IF('Diagnostic Questions'!E19="Yes",1,0)</f>
        <v>0</v>
      </c>
      <c r="E4" s="39">
        <f>IF('Diagnostic Questions'!G19="Yes",1,0)</f>
        <v>0</v>
      </c>
      <c r="F4" s="39">
        <f>IF('Diagnostic Questions'!I19="Yes",1,0)</f>
        <v>1</v>
      </c>
      <c r="G4" s="39">
        <f>IF('Diagnostic Questions'!K19="Yes",1,0)</f>
        <v>1</v>
      </c>
      <c r="I4" t="str">
        <f>_xlfn.TEXTJOIN(",",FALSE,B4:G4)</f>
        <v>Legal and Institutional DRM Framework,Mainstreaming DRM into national and sectoral development plans,0,0,1,1</v>
      </c>
    </row>
    <row r="5" spans="2:9" x14ac:dyDescent="0.3">
      <c r="B5" s="39" t="s">
        <v>71</v>
      </c>
      <c r="C5" s="39" t="s">
        <v>91</v>
      </c>
      <c r="D5" s="39">
        <f>IF('Diagnostic Questions'!E21="Yes",1,0)</f>
        <v>0</v>
      </c>
      <c r="E5" s="39">
        <f>0.5*IF('Diagnostic Questions'!G21="Yes",1,0) + 0.5*IF('Diagnostic Questions'!G22="Yes",1,0)</f>
        <v>0.5</v>
      </c>
      <c r="F5" s="39">
        <f>IF('Diagnostic Questions'!I21="Yes",1,0)</f>
        <v>0</v>
      </c>
      <c r="G5" s="39">
        <f>IF('Diagnostic Questions'!K21="Yes",1,0)</f>
        <v>1</v>
      </c>
      <c r="I5" t="str">
        <f t="shared" ref="I5:I14" si="0">_xlfn.TEXTJOIN(",",FALSE,B5:G5)</f>
        <v>Risk Identification,Risk identification,0,0.5,0,1</v>
      </c>
    </row>
    <row r="6" spans="2:9" x14ac:dyDescent="0.3">
      <c r="B6" s="39" t="s">
        <v>78</v>
      </c>
      <c r="C6" s="39" t="s">
        <v>72</v>
      </c>
      <c r="D6" s="39">
        <f>IF('Diagnostic Questions'!E24="Yes",1,0)</f>
        <v>1</v>
      </c>
      <c r="E6" s="39">
        <f>IF('Diagnostic Questions'!G24="Yes",1,0)</f>
        <v>1</v>
      </c>
      <c r="F6" s="39">
        <f>IF('Diagnostic Questions'!I24="Yes",1,0)</f>
        <v>1</v>
      </c>
      <c r="G6" s="39">
        <f>0.5*IF('Diagnostic Questions'!K24="Yes",1,0) + 0.5*IF('Diagnostic Questions'!K25="Yes",1,0)</f>
        <v>1</v>
      </c>
      <c r="I6" t="str">
        <f t="shared" si="0"/>
        <v>Risk Reduction,Territorial and urban planning,1,1,1,1</v>
      </c>
    </row>
    <row r="7" spans="2:9" x14ac:dyDescent="0.3">
      <c r="B7" s="39" t="s">
        <v>78</v>
      </c>
      <c r="C7" s="39" t="s">
        <v>73</v>
      </c>
      <c r="D7" s="39">
        <f>IF('Diagnostic Questions'!E27="Yes",1,0)</f>
        <v>0</v>
      </c>
      <c r="E7" s="39">
        <f>IF('Diagnostic Questions'!G27="Yes",1,0)</f>
        <v>0</v>
      </c>
      <c r="F7" s="39">
        <f>IF('Diagnostic Questions'!I27="Yes",1,0)</f>
        <v>0</v>
      </c>
      <c r="G7" s="39">
        <f>0.5*IF('Diagnostic Questions'!K27="Yes",1,0) + 0.5*IF('Diagnostic Questions'!K28="Yes",1,0)</f>
        <v>0</v>
      </c>
      <c r="I7" t="str">
        <f t="shared" si="0"/>
        <v>Risk Reduction,Public investment at the central level,0,0,0,0</v>
      </c>
    </row>
    <row r="8" spans="2:9" x14ac:dyDescent="0.3">
      <c r="B8" s="39" t="s">
        <v>78</v>
      </c>
      <c r="C8" s="39" t="s">
        <v>74</v>
      </c>
      <c r="D8" s="39">
        <f>0.5*(0.25*IF('Diagnostic Questions'!E30="Yes",1,0)+0.25*IF('Diagnostic Questions'!E31="Yes",1,0)+0.25*IF('Diagnostic Questions'!E32="Yes",1,0)+0.25*IF('Diagnostic Questions'!E33="Yes",1,0))+0.5*IF('Diagnostic Questions'!E35="Yes",1,0)</f>
        <v>0.875</v>
      </c>
      <c r="E8" s="39">
        <f>0.5*IF('Diagnostic Questions'!G30="Yes",1,0)+0.5*IF('Diagnostic Questions'!G35="Yes",1,0)</f>
        <v>0.5</v>
      </c>
      <c r="F8" s="39">
        <f>0.5*IF('Diagnostic Questions'!I30="Yes",1,0)+0.5*(0.5*IF('Diagnostic Questions'!I35="Yes",1,0)+0.5*IF('Diagnostic Questions'!I36="Yes",1,0))</f>
        <v>0.5</v>
      </c>
      <c r="G8" s="39">
        <f>0.5*IF('Diagnostic Questions'!K30="Yes",1,0)+0.5*IF('Diagnostic Questions'!K35="Yes",1,0)</f>
        <v>1</v>
      </c>
      <c r="I8" t="str">
        <f t="shared" si="0"/>
        <v>Risk Reduction,Sector-specific risk reduction measures,0.875,0.5,0.5,1</v>
      </c>
    </row>
    <row r="9" spans="2:9" x14ac:dyDescent="0.3">
      <c r="B9" s="39" t="s">
        <v>79</v>
      </c>
      <c r="C9" s="39" t="s">
        <v>92</v>
      </c>
      <c r="D9" s="39">
        <f>IF('Diagnostic Questions'!E38="Yes",1,0)</f>
        <v>1</v>
      </c>
      <c r="E9" s="39">
        <f>IF('Diagnostic Questions'!G38="Yes",1,0)</f>
        <v>0</v>
      </c>
      <c r="F9" s="39">
        <f>IF('Diagnostic Questions'!I38="Yes",1,0)</f>
        <v>1</v>
      </c>
      <c r="G9" s="39">
        <f>IF('Diagnostic Questions'!K38="Yes",1,0)</f>
        <v>1</v>
      </c>
      <c r="I9" t="str">
        <f t="shared" si="0"/>
        <v>Preparedness,Early warning systems,1,0,1,1</v>
      </c>
    </row>
    <row r="10" spans="2:9" x14ac:dyDescent="0.3">
      <c r="B10" s="39" t="s">
        <v>79</v>
      </c>
      <c r="C10" s="39" t="s">
        <v>93</v>
      </c>
      <c r="D10" s="39">
        <f>IF('Diagnostic Questions'!E40="Yes",1,0)</f>
        <v>0</v>
      </c>
      <c r="E10" s="39">
        <f>IF('Diagnostic Questions'!G40="Yes",1,0)</f>
        <v>0</v>
      </c>
      <c r="F10" s="39">
        <f>0.5*IF('Diagnostic Questions'!I40="Yes",1,0) + 0.5*IF('Diagnostic Questions'!I41="Yes",1,0)</f>
        <v>1</v>
      </c>
      <c r="G10" s="39">
        <f>IF('Diagnostic Questions'!K40="Yes",1,0)</f>
        <v>1</v>
      </c>
      <c r="I10" t="str">
        <f t="shared" si="0"/>
        <v>Preparedness,Emergency preparedness and response,0,0,1,1</v>
      </c>
    </row>
    <row r="11" spans="2:9" x14ac:dyDescent="0.3">
      <c r="B11" s="39" t="s">
        <v>79</v>
      </c>
      <c r="C11" s="39" t="s">
        <v>94</v>
      </c>
      <c r="D11" s="39">
        <f>IF('Diagnostic Questions'!E43="Yes",1,0)</f>
        <v>0</v>
      </c>
      <c r="E11" s="39">
        <f>IF('Diagnostic Questions'!G43="Yes",1,0)</f>
        <v>0</v>
      </c>
      <c r="F11" s="39">
        <f>IF('Diagnostic Questions'!I43="Yes",1,0)</f>
        <v>0</v>
      </c>
      <c r="G11" s="39">
        <f>IF('Diagnostic Questions'!K43="Yes",1,0)</f>
        <v>0</v>
      </c>
      <c r="I11" t="str">
        <f t="shared" si="0"/>
        <v>Preparedness,Adaptive social protection,0,0,0,0</v>
      </c>
    </row>
    <row r="12" spans="2:9" x14ac:dyDescent="0.3">
      <c r="B12" s="39" t="s">
        <v>80</v>
      </c>
      <c r="C12" s="39" t="s">
        <v>75</v>
      </c>
      <c r="D12" s="39">
        <f>IF('Diagnostic Questions'!E45="Yes",1,0)</f>
        <v>0</v>
      </c>
      <c r="E12" s="39">
        <f>IF('Diagnostic Questions'!G45="Yes",1,0)</f>
        <v>0</v>
      </c>
      <c r="F12" s="39">
        <f>IF('Diagnostic Questions'!I45="Yes",1,0)</f>
        <v>0</v>
      </c>
      <c r="G12" s="39">
        <f>IF('Diagnostic Questions'!K45="Yes",1,0)</f>
        <v>0</v>
      </c>
      <c r="I12" t="str">
        <f t="shared" si="0"/>
        <v>Financial Protection,Fiscal risk management,0,0,0,0</v>
      </c>
    </row>
    <row r="13" spans="2:9" x14ac:dyDescent="0.3">
      <c r="B13" s="39" t="s">
        <v>80</v>
      </c>
      <c r="C13" s="39" t="s">
        <v>90</v>
      </c>
      <c r="D13" s="39">
        <f>IF('Diagnostic Questions'!E47="Yes",1,0)</f>
        <v>0</v>
      </c>
      <c r="E13" s="39">
        <f>0.5*IF('Diagnostic Questions'!G47="Yes",1,0)+0.5*IF('Diagnostic Questions'!G48="Yes",1,0)</f>
        <v>0</v>
      </c>
      <c r="F13" s="39">
        <f>IF('Diagnostic Questions'!I47="Yes",1,0)</f>
        <v>0</v>
      </c>
      <c r="G13" s="39">
        <f>IF('Diagnostic Questions'!K47="Yes",1,0)</f>
        <v>0</v>
      </c>
      <c r="I13" t="str">
        <f t="shared" si="0"/>
        <v>Financial Protection,DRF strategies and instruments,0,0,0,0</v>
      </c>
    </row>
    <row r="14" spans="2:9" x14ac:dyDescent="0.3">
      <c r="B14" s="39" t="s">
        <v>76</v>
      </c>
      <c r="C14" s="39" t="s">
        <v>95</v>
      </c>
      <c r="D14" s="39">
        <f>IF('Diagnostic Questions'!E50="Yes",1,0)</f>
        <v>0</v>
      </c>
      <c r="E14" s="39">
        <f>IF('Diagnostic Questions'!G50="Yes",1,0)</f>
        <v>0</v>
      </c>
      <c r="F14" s="39">
        <f>IF('Diagnostic Questions'!I50="Yes",1,0)</f>
        <v>0</v>
      </c>
      <c r="G14" s="39">
        <f>IF('Diagnostic Questions'!K50="Yes",1,0)</f>
        <v>0</v>
      </c>
      <c r="I14" t="str">
        <f t="shared" si="0"/>
        <v>Resilient Reconstruction,Resilient reconstruction,0,0,0,0</v>
      </c>
    </row>
    <row r="16" spans="2:9" x14ac:dyDescent="0.3">
      <c r="C16" s="6"/>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Diagnostic Questions</vt:lpstr>
      <vt:lpstr>Summary (to be hidden)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2025-11-13T08:52:25Z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