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62bed0b45625b526/World_Bank_DRM/Cat_DDO_DRM_Diagnostic_Dashboard/data/"/>
    </mc:Choice>
  </mc:AlternateContent>
  <xr:revisionPtr revIDLastSave="129" documentId="13_ncr:1_{E281060C-B249-4EEA-A958-CD0BF3134DC9}" xr6:coauthVersionLast="47" xr6:coauthVersionMax="47" xr10:uidLastSave="{DE9760BC-03E1-47FE-84C7-EE3490DF81FB}"/>
  <bookViews>
    <workbookView xWindow="-108" yWindow="-108" windowWidth="30936" windowHeight="16776" xr2:uid="{D35593D8-ABCE-4EA8-921D-2F7793671AB9}"/>
  </bookViews>
  <sheets>
    <sheet name="DRM Diagnostic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5" l="1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15" i="5"/>
  <c r="B10" i="5" l="1"/>
</calcChain>
</file>

<file path=xl/sharedStrings.xml><?xml version="1.0" encoding="utf-8"?>
<sst xmlns="http://schemas.openxmlformats.org/spreadsheetml/2006/main" count="127" uniqueCount="125">
  <si>
    <t>DRM Pillar</t>
  </si>
  <si>
    <t>1. Legal and Institutional DRM Framework</t>
  </si>
  <si>
    <t>1.1. DRM policies and institutions</t>
  </si>
  <si>
    <t xml:space="preserve">Did the institution responsible for coordinating or leading DRM activities receive dedicated funding for these functions in the last fiscal year? </t>
  </si>
  <si>
    <t>1.2. Mainstreaming DRM into national and sectoral development plans</t>
  </si>
  <si>
    <t>2. Risk Identification</t>
  </si>
  <si>
    <t>3. Risk Reduction</t>
  </si>
  <si>
    <t>3.1. Territorial and urban planning</t>
  </si>
  <si>
    <t>3.2. Public investment at the central level</t>
  </si>
  <si>
    <t>Do laws and regulations mandate disaster and climate risk screening as part of the appraisal of new public investment projects?</t>
  </si>
  <si>
    <t>3.3. Sector-specific risk reduction measures</t>
  </si>
  <si>
    <t>Is there at least one legally binding building code or standard that requires earthquake-resistant or other hazard-resistant (e.g., wind, flood) design for buildings?</t>
  </si>
  <si>
    <t>4. Preparedness</t>
  </si>
  <si>
    <t>4.1. Early Warning Systems (EWS)</t>
  </si>
  <si>
    <t>Do institutions involved in EWS—data producers, decision-makers, and implementers of preparedness and response—operate under an established, functional coordination mechanism, evidenced by formal arrangements such as MoUs or regular coordination platform meetings?</t>
  </si>
  <si>
    <t xml:space="preserve">Over the most recent major disaster, was the population promptly alerted (e.g., via SMS or other tailored communication channels)? </t>
  </si>
  <si>
    <t>Over the past four years, has there been at least one budget allocation for the expansion, maintenance, or operation of the hydrometeorological network?</t>
  </si>
  <si>
    <t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</si>
  <si>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</si>
  <si>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Do emergency preparedness plans incorporate gender-sensitive measures, such as gender-based violence prevention, safe shelters, and women's specific needs during evacuation and displacement? </t>
  </si>
  <si>
    <t>4.3. Adaptive Social Protection (ASP)</t>
  </si>
  <si>
    <t>Is there a legal framework clearly defining the roles and responsibilities of institutions involved in ASP (e.g., social protection, finance, DRM)?</t>
  </si>
  <si>
    <t>Is there a unified social registry incorporating exposure and vulnerability data to facilitate the targeting of population potentially affected in case of disaster or climate-related shocks?</t>
  </si>
  <si>
    <t>5. Financial Protection</t>
  </si>
  <si>
    <t>5.1. Fiscal risk management</t>
  </si>
  <si>
    <t>Are contingent liabilities associated with disasters quantified through an established methodology for the major hazards?</t>
  </si>
  <si>
    <t>Has the government conducted stress tests of public debt that include disaster or climate-related scenarios?</t>
  </si>
  <si>
    <t>5.2. Disaster Risk Financing (DRF) strategies and instruments</t>
  </si>
  <si>
    <t>6. Resilient Reconstruction</t>
  </si>
  <si>
    <t>Are there laws or regulations that establish the institutions responsible for coordinating post-disaster recovery and reconstruction?</t>
  </si>
  <si>
    <t>Have guidelines or regulations to conduct post-disaster damage and needs assessments been developed and approved?</t>
  </si>
  <si>
    <t>Instructions</t>
  </si>
  <si>
    <t>Thematic Area</t>
  </si>
  <si>
    <t xml:space="preserve">Do official guidelines exist defining disaster and climate risk screening methodologies for new public investment projects? </t>
  </si>
  <si>
    <t>Do key fiscal policy documents (e.g., the medium-term fiscal framework or fiscal risk statements) include quantified assessments of disaster risks?</t>
  </si>
  <si>
    <t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</si>
  <si>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>Are there legal and institutional arrangements for water supply and sanitation in urban areas that take flood risk into account?</t>
  </si>
  <si>
    <t>Do available national risk assessments or disaster risk profiles account for the potential impacts of climate change on hazard intensity and frequency?</t>
  </si>
  <si>
    <t>Do guidelines or procedures for managing housing/settlements located in high-risk areas exist?</t>
  </si>
  <si>
    <t xml:space="preserve">Do official methodologies to guide the development of risk-informed territorial, spatial, land use or urban planning instruments exist? </t>
  </si>
  <si>
    <t>Has any public project or program in the past four years been allocated funding for retrofitting activities that follow vulnerability assessments and resilient design standards?</t>
  </si>
  <si>
    <t>Are risk mitigation measures mandatory for new projects that have been appraised as high-risk (or equivalent) through the disaster and climate screening process?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</si>
  <si>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</si>
  <si>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>Are there sovereign risk financing instruments (e.g., disaster or emergency funds, contingent loans, insurance, cat bonds) in place to manage the financial impact of disasters and climate-related shocks?</t>
  </si>
  <si>
    <t>Are there regulations that define standards for catastrophe insurance coverage of public or private assets?</t>
  </si>
  <si>
    <t>Question</t>
  </si>
  <si>
    <t>1. Answer the questions below.</t>
  </si>
  <si>
    <t>Weight</t>
  </si>
  <si>
    <t xml:space="preserve">(2) education (schools) </t>
  </si>
  <si>
    <t>(3) health (hospitals)</t>
  </si>
  <si>
    <t>(4) energy infrastructure?</t>
  </si>
  <si>
    <t>Are there legally binding standards or technical guidelines for the design and construction of disaster-resilient critical infrastructure in the following sectors: (1) transport (roads)</t>
  </si>
  <si>
    <t>Answer 
(Yes / No)</t>
  </si>
  <si>
    <t xml:space="preserve">Have DRM policy instruments (e.g., DRM strategies or policies) been officially approved since the adoption of the DRM legal framework? </t>
  </si>
  <si>
    <t>Have DRM-related regulations (e.g., rules on the structure or functions of the DRM agency) been officially approved since the adoption of the DRM legal framework?</t>
  </si>
  <si>
    <t xml:space="preserve">Do at least 50% of essential government entities have an emergency response protocol or operational continuity plan? </t>
  </si>
  <si>
    <t>Do at least 50% of subnational EP&amp;R entities (e.g., Local Emergency Management Committee) have an approved contingency plan or emergency response protocol?</t>
  </si>
  <si>
    <t>During the most recent disaster or climate-related shock, was support promptly provided to the population through social‐protection programs? (e.g., cash transfers in the case of flood/drought)?</t>
  </si>
  <si>
    <t xml:space="preserve">Is existing hazard and risk information available to all essential government entities (e.g., as evidenced through a set of MoUs or formal exchange mechanisms)? </t>
  </si>
  <si>
    <t>Is existing hazard and risk information accessible to all citizens through open-data platforms?</t>
  </si>
  <si>
    <t>Do laws and regulations mandate the use of risk information (e.g., hazard maps, risk assessments) to develop territorial, spatial, land use, or urban planning instruments?</t>
  </si>
  <si>
    <t>Is there a legal framework (e.g., a DRM law or other legally-binding instruments) defining distinct responsibilities for disaster risk reduction and emergency management?</t>
  </si>
  <si>
    <t>Does the National Development Strategy (or equivalent national planning instrument) contain objectives, targets or indicators related to DRM and/or Climate Change Adaptation?</t>
  </si>
  <si>
    <t>Have at least 50% of essential government entities* included explicit DRM and/or Climate Change Adaptation targets and indicators in their most recent strategic planning documents?</t>
  </si>
  <si>
    <t>Have at least 50% of the instruments (territorial, spatial, land use or urban planning) approved in the last four years used risk information (e.g., hazard maps, risk assessments)?</t>
  </si>
  <si>
    <t>Have any watershed basins undergone improvements in water management in the last four years?</t>
  </si>
  <si>
    <t>Has the percentage of urban residents with access to sewage services been maintained or increased in the last four years?</t>
  </si>
  <si>
    <t>Are there legal and institutional arrangements for integrated water resources management that explicitly incorporate flood and drought risk considerations?</t>
  </si>
  <si>
    <t>Over the past four years, has the $ amount of financing that can be mobilized through sovereign risk financing instruments increased?</t>
  </si>
  <si>
    <r>
      <t xml:space="preserve">After the most recent major disaster, have the zoning, land use or territorial planning instruments in the affected areas been reviewed to </t>
    </r>
    <r>
      <rPr>
        <i/>
        <sz val="11"/>
        <color theme="1"/>
        <rFont val="Aptos Narrow"/>
        <family val="2"/>
        <scheme val="minor"/>
      </rPr>
      <t>build back better</t>
    </r>
    <r>
      <rPr>
        <sz val="11"/>
        <color theme="1"/>
        <rFont val="Aptos Narrow"/>
        <family val="2"/>
        <scheme val="minor"/>
      </rPr>
      <t>?</t>
    </r>
  </si>
  <si>
    <t>No.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</si>
  <si>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</si>
  <si>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</si>
  <si>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</si>
  <si>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</si>
  <si>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</si>
  <si>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</si>
  <si>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</si>
  <si>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</si>
  <si>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</si>
  <si>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</si>
  <si>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</si>
  <si>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</si>
  <si>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</si>
  <si>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</si>
  <si>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</si>
  <si>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</si>
  <si>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</si>
  <si>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</si>
  <si>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</si>
  <si>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</si>
  <si>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</si>
  <si>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</si>
  <si>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</si>
  <si>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</si>
  <si>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</si>
  <si>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</si>
  <si>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</si>
  <si>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</si>
  <si>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</si>
  <si>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</si>
  <si>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</si>
  <si>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</si>
  <si>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</si>
  <si>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</si>
  <si>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</si>
  <si>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</si>
  <si>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</si>
  <si>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</si>
  <si>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</si>
  <si>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</si>
  <si>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</si>
  <si>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</si>
  <si>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</si>
  <si>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</si>
  <si>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</si>
  <si>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</si>
  <si>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</si>
  <si>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* Essential government entities refer to the main ministry or agency in charge of the followings eight sectors: Agriculture, Education, Housing, Health, Energy, Tourism, Transport, Water and Sanitation.</t>
  </si>
  <si>
    <t>3. Copy and Paste Cell B10 to the website</t>
  </si>
  <si>
    <t xml:space="preserve"> </t>
  </si>
  <si>
    <t>Blanks</t>
  </si>
  <si>
    <t>Disaster Risk Management Policy Diagnostic Tool</t>
  </si>
  <si>
    <t>https://cat-ddo-drm-diagnostic-dashboard-129737065802.us-central1.run.app/</t>
  </si>
  <si>
    <t>2. Go to the following website for the latest version of the tool. The website may take some time to load, please retry if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</si>
</sst>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"/>
      <family val="2"/>
    </font>
    <font>
      <sz val="11"/>
      <color theme="1"/>
      <name val="Aptos"/>
      <family val="2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"/>
      <family val="2"/>
    </font>
    <font>
      <i/>
      <sz val="11"/>
      <color rgb="FF7F7F7F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2" borderId="1" applyNumberFormat="0" applyBorder="0" applyAlignment="0" applyProtection="0"/>
    <xf numFmtId="0" fontId="2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/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5" fillId="3" borderId="2" xfId="5" applyBorder="1" applyAlignment="1">
      <alignment horizontal="left" vertical="center" wrapText="1"/>
    </xf>
    <xf numFmtId="0" fontId="5" fillId="3" borderId="8" xfId="5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5" fillId="3" borderId="4" xfId="5" applyBorder="1" applyAlignment="1">
      <alignment horizontal="left" vertical="center" wrapText="1"/>
    </xf>
    <xf numFmtId="0" fontId="5" fillId="3" borderId="5" xfId="5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5" fillId="3" borderId="15" xfId="5" applyBorder="1" applyAlignment="1">
      <alignment horizontal="left" vertical="center" wrapText="1"/>
    </xf>
    <xf numFmtId="0" fontId="6" fillId="4" borderId="7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 wrapText="1"/>
    </xf>
    <xf numFmtId="0" fontId="5" fillId="3" borderId="2" xfId="5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6" fillId="4" borderId="21" xfId="6" applyFont="1" applyBorder="1" applyAlignment="1">
      <alignment horizontal="center" vertical="center"/>
    </xf>
    <xf numFmtId="0" fontId="6" fillId="4" borderId="9" xfId="6" applyFont="1" applyBorder="1" applyAlignment="1">
      <alignment horizontal="center" vertical="center" wrapText="1"/>
    </xf>
    <xf numFmtId="0" fontId="2" fillId="0" borderId="3" xfId="2" applyAlignment="1">
      <alignment horizontal="left"/>
    </xf>
    <xf numFmtId="0" fontId="5" fillId="3" borderId="11" xfId="5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3" borderId="9" xfId="5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5" fillId="3" borderId="18" xfId="5" applyBorder="1" applyAlignment="1">
      <alignment horizontal="center" vertical="center"/>
    </xf>
    <xf numFmtId="0" fontId="5" fillId="3" borderId="17" xfId="5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3" borderId="16" xfId="5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3" borderId="9" xfId="5" applyBorder="1" applyAlignment="1">
      <alignment horizontal="center" vertical="center"/>
    </xf>
    <xf numFmtId="0" fontId="5" fillId="3" borderId="22" xfId="5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3" borderId="21" xfId="5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3" borderId="25" xfId="5" applyBorder="1" applyAlignment="1">
      <alignment horizontal="center" vertical="center"/>
    </xf>
    <xf numFmtId="0" fontId="5" fillId="3" borderId="23" xfId="5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3" borderId="24" xfId="5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4" borderId="0" xfId="6" applyFont="1" applyBorder="1" applyAlignment="1">
      <alignment horizontal="center" vertical="center"/>
    </xf>
    <xf numFmtId="0" fontId="5" fillId="3" borderId="0" xfId="5" applyBorder="1" applyAlignment="1">
      <alignment horizontal="center" vertical="center"/>
    </xf>
    <xf numFmtId="0" fontId="8" fillId="5" borderId="0" xfId="0" applyFont="1" applyFill="1"/>
    <xf numFmtId="0" fontId="8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8" fillId="5" borderId="0" xfId="0" applyFont="1" applyFill="1" applyAlignment="1">
      <alignment horizontal="left" vertical="center"/>
    </xf>
    <xf numFmtId="0" fontId="11" fillId="0" borderId="0" xfId="4" applyFont="1" applyAlignment="1"/>
    <xf numFmtId="0" fontId="12" fillId="0" borderId="0" xfId="3" applyFont="1"/>
    <xf numFmtId="0" fontId="1" fillId="2" borderId="0" xfId="1" applyBorder="1" applyAlignment="1">
      <alignment wrapText="1"/>
    </xf>
    <xf numFmtId="0" fontId="1" fillId="2" borderId="0" xfId="1" applyBorder="1" applyAlignment="1">
      <alignment horizontal="left"/>
    </xf>
    <xf numFmtId="0" fontId="1" fillId="2" borderId="0" xfId="1" applyBorder="1" applyAlignment="1">
      <alignment horizontal="left" vertical="center" wrapText="1"/>
    </xf>
    <xf numFmtId="0" fontId="2" fillId="0" borderId="3" xfId="2" applyAlignment="1">
      <alignment horizontal="left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20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4" fillId="0" borderId="0" xfId="4" applyAlignment="1"/>
  </cellXfs>
  <cellStyles count="7">
    <cellStyle name="20% - Accent1" xfId="5" builtinId="30"/>
    <cellStyle name="60% - Accent1" xfId="6" builtinId="32"/>
    <cellStyle name="Calculation" xfId="1" builtinId="22" customBuiltin="1"/>
    <cellStyle name="Explanatory Text" xfId="3" builtinId="53"/>
    <cellStyle name="Heading 1" xfId="2" builtinId="16"/>
    <cellStyle name="Hyperlink" xfId="4" builtinId="8"/>
    <cellStyle name="Normal" xfId="0" builtinId="0"/>
  </cellStyles>
  <dxfs count="0"/>
  <tableStyles count="0" defaultTableStyle="TableStyleMedium2" defaultPivotStyle="PivotStyleLight16"/>
  <colors>
    <mruColors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t-ddo-drm-diagnostic-dashboard-129737065802.us-central1.run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5CE87-02FF-4583-93E8-6522C5287CD6}">
  <dimension ref="B2:AY198"/>
  <sheetViews>
    <sheetView showGridLines="0" tabSelected="1" zoomScaleNormal="100" workbookViewId="0">
      <selection activeCell="B11" sqref="B11"/>
    </sheetView>
  </sheetViews>
  <sheetFormatPr defaultRowHeight="14.4" x14ac:dyDescent="0.3"/>
  <cols>
    <col min="1" max="1" width="2.33203125" customWidth="1"/>
    <col min="2" max="2" width="21.21875" customWidth="1"/>
    <col min="3" max="3" width="23.33203125" customWidth="1"/>
    <col min="4" max="4" width="87.21875" style="5" customWidth="1"/>
    <col min="5" max="5" width="8.88671875" style="1" customWidth="1"/>
    <col min="6" max="7" width="6.77734375" style="1" hidden="1" customWidth="1"/>
    <col min="8" max="8" width="11.6640625" style="1" hidden="1" customWidth="1"/>
    <col min="12" max="12" width="20.5546875" customWidth="1"/>
  </cols>
  <sheetData>
    <row r="2" spans="2:51" ht="20.399999999999999" thickBot="1" x14ac:dyDescent="0.45">
      <c r="B2" s="58" t="s">
        <v>122</v>
      </c>
      <c r="C2" s="58"/>
      <c r="D2" s="58"/>
      <c r="E2" s="58"/>
      <c r="F2" s="58"/>
      <c r="G2" s="24"/>
    </row>
    <row r="3" spans="2:51" ht="15" thickTop="1" x14ac:dyDescent="0.3"/>
    <row r="4" spans="2:51" x14ac:dyDescent="0.3">
      <c r="B4" s="2" t="s">
        <v>31</v>
      </c>
      <c r="C4" s="3"/>
      <c r="D4" s="9"/>
    </row>
    <row r="5" spans="2:51" x14ac:dyDescent="0.3">
      <c r="B5" s="4" t="s">
        <v>46</v>
      </c>
      <c r="C5" s="3"/>
      <c r="D5" s="9"/>
    </row>
    <row r="6" spans="2:51" ht="14.4" customHeight="1" x14ac:dyDescent="0.3">
      <c r="B6" s="4" t="s">
        <v>124</v>
      </c>
      <c r="C6" s="4"/>
      <c r="D6" s="9"/>
    </row>
    <row r="7" spans="2:51" ht="14.4" customHeight="1" x14ac:dyDescent="0.3">
      <c r="B7" s="71" t="s">
        <v>123</v>
      </c>
      <c r="C7" s="4"/>
      <c r="D7" s="9"/>
      <c r="G7" s="1" t="s">
        <v>121</v>
      </c>
    </row>
    <row r="8" spans="2:51" ht="14.4" customHeight="1" x14ac:dyDescent="0.3">
      <c r="B8" s="53"/>
      <c r="C8" s="48"/>
      <c r="D8" s="49"/>
      <c r="E8" s="50"/>
      <c r="F8" s="50"/>
      <c r="G8" s="4">
        <f>COUNTBLANK(E15:E61)</f>
        <v>47</v>
      </c>
      <c r="H8" s="50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</row>
    <row r="9" spans="2:51" x14ac:dyDescent="0.3">
      <c r="B9" s="4" t="s">
        <v>119</v>
      </c>
      <c r="C9" s="52"/>
      <c r="D9" s="49"/>
      <c r="E9" s="50"/>
      <c r="F9" s="50"/>
      <c r="G9" s="50"/>
      <c r="H9" s="50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</row>
    <row r="10" spans="2:51" x14ac:dyDescent="0.3">
      <c r="B10" s="56" t="str">
        <f>IF(G8&gt;0,_xlfn.CONCAT("Please complete asessment to proceed. Remaining questions: ",G8), _xlfn.TEXTJOIN(";",FALSE,H15:H61))</f>
        <v>Please complete asessment to proceed. Remaining questions: 47</v>
      </c>
      <c r="C10" s="55"/>
      <c r="D10" s="57"/>
      <c r="E10" s="50" t="s">
        <v>120</v>
      </c>
      <c r="F10" s="50"/>
      <c r="G10" s="50"/>
      <c r="H10" s="50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</row>
    <row r="11" spans="2:51" x14ac:dyDescent="0.3">
      <c r="B11" s="4"/>
    </row>
    <row r="12" spans="2:51" x14ac:dyDescent="0.3">
      <c r="B12" s="54" t="s">
        <v>118</v>
      </c>
    </row>
    <row r="13" spans="2:51" ht="15" thickBot="1" x14ac:dyDescent="0.35">
      <c r="B13" s="4"/>
    </row>
    <row r="14" spans="2:51" ht="28.8" customHeight="1" x14ac:dyDescent="0.3">
      <c r="B14" s="17" t="s">
        <v>0</v>
      </c>
      <c r="C14" s="18" t="s">
        <v>32</v>
      </c>
      <c r="D14" s="19" t="s">
        <v>45</v>
      </c>
      <c r="E14" s="23" t="s">
        <v>52</v>
      </c>
      <c r="F14" s="22" t="s">
        <v>47</v>
      </c>
      <c r="G14" s="46" t="s">
        <v>70</v>
      </c>
    </row>
    <row r="15" spans="2:51" ht="42.6" customHeight="1" x14ac:dyDescent="0.3">
      <c r="B15" s="70" t="s">
        <v>1</v>
      </c>
      <c r="C15" s="64" t="s">
        <v>2</v>
      </c>
      <c r="D15" s="10" t="s">
        <v>61</v>
      </c>
      <c r="E15" s="25"/>
      <c r="F15" s="36">
        <v>1</v>
      </c>
      <c r="G15" s="47" t="s">
        <v>71</v>
      </c>
      <c r="H15" s="1" t="str">
        <f>_xlfn.TEXTJOIN(",",FALSE,G15,E15,F15)</f>
        <v>Q1,,1</v>
      </c>
    </row>
    <row r="16" spans="2:51" ht="42.6" customHeight="1" x14ac:dyDescent="0.3">
      <c r="B16" s="68"/>
      <c r="C16" s="62"/>
      <c r="D16" s="6" t="s">
        <v>3</v>
      </c>
      <c r="E16" s="26"/>
      <c r="F16" s="37">
        <v>1</v>
      </c>
      <c r="G16" s="1" t="s">
        <v>72</v>
      </c>
      <c r="H16" s="1" t="str">
        <f t="shared" ref="H16:H61" si="0">_xlfn.TEXTJOIN(",",FALSE,G16,E16,F16)</f>
        <v>Q2,,1</v>
      </c>
    </row>
    <row r="17" spans="2:8" ht="42.6" customHeight="1" x14ac:dyDescent="0.3">
      <c r="B17" s="68"/>
      <c r="C17" s="62"/>
      <c r="D17" s="10" t="s">
        <v>53</v>
      </c>
      <c r="E17" s="25"/>
      <c r="F17" s="36">
        <v>0.5</v>
      </c>
      <c r="G17" s="47" t="s">
        <v>73</v>
      </c>
      <c r="H17" s="1" t="str">
        <f t="shared" si="0"/>
        <v>Q3,,0.5</v>
      </c>
    </row>
    <row r="18" spans="2:8" ht="42.6" customHeight="1" x14ac:dyDescent="0.3">
      <c r="B18" s="68"/>
      <c r="C18" s="63"/>
      <c r="D18" s="6" t="s">
        <v>54</v>
      </c>
      <c r="E18" s="26"/>
      <c r="F18" s="37">
        <v>0.5</v>
      </c>
      <c r="G18" s="1" t="s">
        <v>74</v>
      </c>
      <c r="H18" s="1" t="str">
        <f t="shared" si="0"/>
        <v>Q4,,0.5</v>
      </c>
    </row>
    <row r="19" spans="2:8" ht="42.6" customHeight="1" x14ac:dyDescent="0.3">
      <c r="B19" s="68"/>
      <c r="C19" s="64" t="s">
        <v>4</v>
      </c>
      <c r="D19" s="10" t="s">
        <v>62</v>
      </c>
      <c r="E19" s="25"/>
      <c r="F19" s="36">
        <v>1</v>
      </c>
      <c r="G19" s="47" t="s">
        <v>75</v>
      </c>
      <c r="H19" s="1" t="str">
        <f t="shared" si="0"/>
        <v>Q5,,1</v>
      </c>
    </row>
    <row r="20" spans="2:8" ht="42.6" customHeight="1" thickBot="1" x14ac:dyDescent="0.35">
      <c r="B20" s="68"/>
      <c r="C20" s="62"/>
      <c r="D20" s="7" t="s">
        <v>63</v>
      </c>
      <c r="E20" s="27"/>
      <c r="F20" s="38">
        <v>1</v>
      </c>
      <c r="G20" s="1" t="s">
        <v>76</v>
      </c>
      <c r="H20" s="1" t="str">
        <f t="shared" si="0"/>
        <v>Q6,,1</v>
      </c>
    </row>
    <row r="21" spans="2:8" ht="42.6" customHeight="1" x14ac:dyDescent="0.3">
      <c r="B21" s="67" t="s">
        <v>5</v>
      </c>
      <c r="C21" s="67" t="s">
        <v>5</v>
      </c>
      <c r="D21" s="11" t="s">
        <v>35</v>
      </c>
      <c r="E21" s="28"/>
      <c r="F21" s="39">
        <v>1</v>
      </c>
      <c r="G21" s="47" t="s">
        <v>77</v>
      </c>
      <c r="H21" s="1" t="str">
        <f t="shared" si="0"/>
        <v>Q7,,1</v>
      </c>
    </row>
    <row r="22" spans="2:8" ht="42.6" customHeight="1" x14ac:dyDescent="0.3">
      <c r="B22" s="68"/>
      <c r="C22" s="68"/>
      <c r="D22" s="6" t="s">
        <v>58</v>
      </c>
      <c r="E22" s="26"/>
      <c r="F22" s="37">
        <v>0.5</v>
      </c>
      <c r="G22" s="1" t="s">
        <v>78</v>
      </c>
      <c r="H22" s="1" t="str">
        <f t="shared" si="0"/>
        <v>Q8,,0.5</v>
      </c>
    </row>
    <row r="23" spans="2:8" ht="42.6" customHeight="1" x14ac:dyDescent="0.3">
      <c r="B23" s="68"/>
      <c r="C23" s="68"/>
      <c r="D23" s="10" t="s">
        <v>59</v>
      </c>
      <c r="E23" s="25"/>
      <c r="F23" s="36">
        <v>0.5</v>
      </c>
      <c r="G23" s="47" t="s">
        <v>79</v>
      </c>
      <c r="H23" s="1" t="str">
        <f t="shared" si="0"/>
        <v>Q9,,0.5</v>
      </c>
    </row>
    <row r="24" spans="2:8" ht="42.6" customHeight="1" thickBot="1" x14ac:dyDescent="0.35">
      <c r="B24" s="69"/>
      <c r="C24" s="69"/>
      <c r="D24" s="12" t="s">
        <v>37</v>
      </c>
      <c r="E24" s="29"/>
      <c r="F24" s="40">
        <v>1</v>
      </c>
      <c r="G24" s="1" t="s">
        <v>80</v>
      </c>
      <c r="H24" s="1" t="str">
        <f t="shared" si="0"/>
        <v>Q10,,1</v>
      </c>
    </row>
    <row r="25" spans="2:8" ht="42.6" customHeight="1" x14ac:dyDescent="0.3">
      <c r="B25" s="68" t="s">
        <v>6</v>
      </c>
      <c r="C25" s="62" t="s">
        <v>7</v>
      </c>
      <c r="D25" s="13" t="s">
        <v>60</v>
      </c>
      <c r="E25" s="30"/>
      <c r="F25" s="41">
        <v>1</v>
      </c>
      <c r="G25" s="47" t="s">
        <v>81</v>
      </c>
      <c r="H25" s="1" t="str">
        <f t="shared" si="0"/>
        <v>Q11,,1</v>
      </c>
    </row>
    <row r="26" spans="2:8" ht="42.6" customHeight="1" x14ac:dyDescent="0.3">
      <c r="B26" s="68"/>
      <c r="C26" s="62"/>
      <c r="D26" s="6" t="s">
        <v>39</v>
      </c>
      <c r="E26" s="26"/>
      <c r="F26" s="37">
        <v>0.5</v>
      </c>
      <c r="G26" s="1" t="s">
        <v>82</v>
      </c>
      <c r="H26" s="1" t="str">
        <f t="shared" si="0"/>
        <v>Q12,,0.5</v>
      </c>
    </row>
    <row r="27" spans="2:8" ht="42.6" customHeight="1" x14ac:dyDescent="0.3">
      <c r="B27" s="68"/>
      <c r="C27" s="62"/>
      <c r="D27" s="10" t="s">
        <v>38</v>
      </c>
      <c r="E27" s="25"/>
      <c r="F27" s="36">
        <v>0.5</v>
      </c>
      <c r="G27" s="47" t="s">
        <v>83</v>
      </c>
      <c r="H27" s="1" t="str">
        <f t="shared" si="0"/>
        <v>Q13,,0.5</v>
      </c>
    </row>
    <row r="28" spans="2:8" ht="42.6" customHeight="1" x14ac:dyDescent="0.3">
      <c r="B28" s="68"/>
      <c r="C28" s="63"/>
      <c r="D28" s="6" t="s">
        <v>64</v>
      </c>
      <c r="E28" s="26"/>
      <c r="F28" s="37">
        <v>1</v>
      </c>
      <c r="G28" s="1" t="s">
        <v>84</v>
      </c>
      <c r="H28" s="1" t="str">
        <f t="shared" si="0"/>
        <v>Q14,,1</v>
      </c>
    </row>
    <row r="29" spans="2:8" ht="42.6" customHeight="1" x14ac:dyDescent="0.3">
      <c r="B29" s="68"/>
      <c r="C29" s="64" t="s">
        <v>8</v>
      </c>
      <c r="D29" s="10" t="s">
        <v>9</v>
      </c>
      <c r="E29" s="25"/>
      <c r="F29" s="36">
        <v>1</v>
      </c>
      <c r="G29" s="47" t="s">
        <v>85</v>
      </c>
      <c r="H29" s="1" t="str">
        <f t="shared" si="0"/>
        <v>Q15,,1</v>
      </c>
    </row>
    <row r="30" spans="2:8" ht="42.6" customHeight="1" x14ac:dyDescent="0.3">
      <c r="B30" s="68"/>
      <c r="C30" s="62"/>
      <c r="D30" s="6" t="s">
        <v>33</v>
      </c>
      <c r="E30" s="26"/>
      <c r="F30" s="37">
        <v>1</v>
      </c>
      <c r="G30" s="1" t="s">
        <v>86</v>
      </c>
      <c r="H30" s="1" t="str">
        <f t="shared" si="0"/>
        <v>Q16,,1</v>
      </c>
    </row>
    <row r="31" spans="2:8" ht="42.6" customHeight="1" x14ac:dyDescent="0.3">
      <c r="B31" s="68"/>
      <c r="C31" s="63"/>
      <c r="D31" s="10" t="s">
        <v>41</v>
      </c>
      <c r="E31" s="25"/>
      <c r="F31" s="36">
        <v>1</v>
      </c>
      <c r="G31" s="47" t="s">
        <v>87</v>
      </c>
      <c r="H31" s="1" t="str">
        <f t="shared" si="0"/>
        <v>Q17,,1</v>
      </c>
    </row>
    <row r="32" spans="2:8" ht="42.6" customHeight="1" x14ac:dyDescent="0.3">
      <c r="B32" s="68"/>
      <c r="C32" s="64" t="s">
        <v>10</v>
      </c>
      <c r="D32" s="6" t="s">
        <v>51</v>
      </c>
      <c r="E32" s="26"/>
      <c r="F32" s="37">
        <v>0.25</v>
      </c>
      <c r="G32" s="1" t="s">
        <v>88</v>
      </c>
      <c r="H32" s="1" t="str">
        <f t="shared" si="0"/>
        <v>Q18,,0.25</v>
      </c>
    </row>
    <row r="33" spans="2:8" ht="42.6" customHeight="1" x14ac:dyDescent="0.3">
      <c r="B33" s="68"/>
      <c r="C33" s="62"/>
      <c r="D33" s="20" t="s">
        <v>48</v>
      </c>
      <c r="E33" s="25"/>
      <c r="F33" s="36">
        <v>0.25</v>
      </c>
      <c r="G33" s="47" t="s">
        <v>89</v>
      </c>
      <c r="H33" s="1" t="str">
        <f t="shared" si="0"/>
        <v>Q19,,0.25</v>
      </c>
    </row>
    <row r="34" spans="2:8" ht="42.6" customHeight="1" x14ac:dyDescent="0.3">
      <c r="B34" s="68"/>
      <c r="C34" s="62"/>
      <c r="D34" s="21" t="s">
        <v>49</v>
      </c>
      <c r="E34" s="26"/>
      <c r="F34" s="37">
        <v>0.25</v>
      </c>
      <c r="G34" s="1" t="s">
        <v>90</v>
      </c>
      <c r="H34" s="1" t="str">
        <f t="shared" si="0"/>
        <v>Q20,,0.25</v>
      </c>
    </row>
    <row r="35" spans="2:8" ht="42.6" customHeight="1" x14ac:dyDescent="0.3">
      <c r="B35" s="68"/>
      <c r="C35" s="62"/>
      <c r="D35" s="20" t="s">
        <v>50</v>
      </c>
      <c r="E35" s="25"/>
      <c r="F35" s="36">
        <v>0.25</v>
      </c>
      <c r="G35" s="47" t="s">
        <v>91</v>
      </c>
      <c r="H35" s="1" t="str">
        <f t="shared" si="0"/>
        <v>Q21,,0.25</v>
      </c>
    </row>
    <row r="36" spans="2:8" ht="42.6" customHeight="1" x14ac:dyDescent="0.3">
      <c r="B36" s="68"/>
      <c r="C36" s="62"/>
      <c r="D36" s="6" t="s">
        <v>11</v>
      </c>
      <c r="E36" s="26"/>
      <c r="F36" s="37">
        <v>1</v>
      </c>
      <c r="G36" s="1" t="s">
        <v>92</v>
      </c>
      <c r="H36" s="1" t="str">
        <f t="shared" si="0"/>
        <v>Q22,,1</v>
      </c>
    </row>
    <row r="37" spans="2:8" ht="42.6" customHeight="1" x14ac:dyDescent="0.3">
      <c r="B37" s="68"/>
      <c r="C37" s="62"/>
      <c r="D37" s="10" t="s">
        <v>40</v>
      </c>
      <c r="E37" s="25"/>
      <c r="F37" s="36">
        <v>1</v>
      </c>
      <c r="G37" s="47" t="s">
        <v>93</v>
      </c>
      <c r="H37" s="1" t="str">
        <f t="shared" si="0"/>
        <v>Q23,,1</v>
      </c>
    </row>
    <row r="38" spans="2:8" ht="42.6" customHeight="1" x14ac:dyDescent="0.3">
      <c r="B38" s="68"/>
      <c r="C38" s="62"/>
      <c r="D38" s="6" t="s">
        <v>36</v>
      </c>
      <c r="E38" s="26"/>
      <c r="F38" s="37">
        <v>1</v>
      </c>
      <c r="G38" s="1" t="s">
        <v>94</v>
      </c>
      <c r="H38" s="1" t="str">
        <f t="shared" si="0"/>
        <v>Q24,,1</v>
      </c>
    </row>
    <row r="39" spans="2:8" ht="42.6" customHeight="1" x14ac:dyDescent="0.3">
      <c r="B39" s="68"/>
      <c r="C39" s="62"/>
      <c r="D39" s="10" t="s">
        <v>67</v>
      </c>
      <c r="E39" s="25"/>
      <c r="F39" s="36">
        <v>1</v>
      </c>
      <c r="G39" s="47" t="s">
        <v>95</v>
      </c>
      <c r="H39" s="1" t="str">
        <f t="shared" si="0"/>
        <v>Q25,,1</v>
      </c>
    </row>
    <row r="40" spans="2:8" ht="42.6" customHeight="1" x14ac:dyDescent="0.3">
      <c r="B40" s="68"/>
      <c r="C40" s="62"/>
      <c r="D40" s="6" t="s">
        <v>65</v>
      </c>
      <c r="E40" s="26"/>
      <c r="F40" s="37">
        <v>0.5</v>
      </c>
      <c r="G40" s="1" t="s">
        <v>96</v>
      </c>
      <c r="H40" s="1" t="str">
        <f t="shared" si="0"/>
        <v>Q26,,0.5</v>
      </c>
    </row>
    <row r="41" spans="2:8" ht="42.6" customHeight="1" thickBot="1" x14ac:dyDescent="0.35">
      <c r="B41" s="68"/>
      <c r="C41" s="62"/>
      <c r="D41" s="14" t="s">
        <v>66</v>
      </c>
      <c r="E41" s="31"/>
      <c r="F41" s="42">
        <v>0.5</v>
      </c>
      <c r="G41" s="47" t="s">
        <v>97</v>
      </c>
      <c r="H41" s="1" t="str">
        <f t="shared" si="0"/>
        <v>Q27,,0.5</v>
      </c>
    </row>
    <row r="42" spans="2:8" ht="42.6" customHeight="1" x14ac:dyDescent="0.3">
      <c r="B42" s="59" t="s">
        <v>12</v>
      </c>
      <c r="C42" s="65" t="s">
        <v>13</v>
      </c>
      <c r="D42" s="15" t="s">
        <v>14</v>
      </c>
      <c r="E42" s="32"/>
      <c r="F42" s="43">
        <v>1</v>
      </c>
      <c r="G42" s="1" t="s">
        <v>98</v>
      </c>
      <c r="H42" s="1" t="str">
        <f t="shared" si="0"/>
        <v>Q28,,1</v>
      </c>
    </row>
    <row r="43" spans="2:8" ht="42.6" customHeight="1" x14ac:dyDescent="0.3">
      <c r="B43" s="60"/>
      <c r="C43" s="62"/>
      <c r="D43" s="10" t="s">
        <v>15</v>
      </c>
      <c r="E43" s="25"/>
      <c r="F43" s="36">
        <v>1</v>
      </c>
      <c r="G43" s="47" t="s">
        <v>99</v>
      </c>
      <c r="H43" s="1" t="str">
        <f t="shared" si="0"/>
        <v>Q29,,1</v>
      </c>
    </row>
    <row r="44" spans="2:8" ht="42.6" customHeight="1" x14ac:dyDescent="0.3">
      <c r="B44" s="60"/>
      <c r="C44" s="63"/>
      <c r="D44" s="6" t="s">
        <v>16</v>
      </c>
      <c r="E44" s="26"/>
      <c r="F44" s="37">
        <v>1</v>
      </c>
      <c r="G44" s="1" t="s">
        <v>100</v>
      </c>
      <c r="H44" s="1" t="str">
        <f t="shared" si="0"/>
        <v>Q30,,1</v>
      </c>
    </row>
    <row r="45" spans="2:8" ht="42.6" customHeight="1" x14ac:dyDescent="0.3">
      <c r="B45" s="60"/>
      <c r="C45" s="64" t="s">
        <v>17</v>
      </c>
      <c r="D45" s="10" t="s">
        <v>18</v>
      </c>
      <c r="E45" s="25"/>
      <c r="F45" s="36">
        <v>1</v>
      </c>
      <c r="G45" s="47" t="s">
        <v>101</v>
      </c>
      <c r="H45" s="1" t="str">
        <f t="shared" si="0"/>
        <v>Q31,,1</v>
      </c>
    </row>
    <row r="46" spans="2:8" ht="42.6" customHeight="1" x14ac:dyDescent="0.3">
      <c r="B46" s="60"/>
      <c r="C46" s="62"/>
      <c r="D46" s="6" t="s">
        <v>55</v>
      </c>
      <c r="E46" s="26"/>
      <c r="F46" s="37">
        <v>0.5</v>
      </c>
      <c r="G46" s="1" t="s">
        <v>102</v>
      </c>
      <c r="H46" s="1" t="str">
        <f t="shared" si="0"/>
        <v>Q32,,0.5</v>
      </c>
    </row>
    <row r="47" spans="2:8" ht="42.6" customHeight="1" x14ac:dyDescent="0.3">
      <c r="B47" s="60"/>
      <c r="C47" s="62"/>
      <c r="D47" s="10" t="s">
        <v>56</v>
      </c>
      <c r="E47" s="25"/>
      <c r="F47" s="36">
        <v>0.5</v>
      </c>
      <c r="G47" s="47" t="s">
        <v>103</v>
      </c>
      <c r="H47" s="1" t="str">
        <f t="shared" si="0"/>
        <v>Q33,,0.5</v>
      </c>
    </row>
    <row r="48" spans="2:8" ht="42.6" customHeight="1" x14ac:dyDescent="0.3">
      <c r="B48" s="60"/>
      <c r="C48" s="63"/>
      <c r="D48" s="6" t="s">
        <v>19</v>
      </c>
      <c r="E48" s="26"/>
      <c r="F48" s="37">
        <v>1</v>
      </c>
      <c r="G48" s="1" t="s">
        <v>104</v>
      </c>
      <c r="H48" s="1" t="str">
        <f t="shared" si="0"/>
        <v>Q34,,1</v>
      </c>
    </row>
    <row r="49" spans="2:8" ht="42.6" customHeight="1" x14ac:dyDescent="0.3">
      <c r="B49" s="60"/>
      <c r="C49" s="64" t="s">
        <v>20</v>
      </c>
      <c r="D49" s="10" t="s">
        <v>21</v>
      </c>
      <c r="E49" s="25"/>
      <c r="F49" s="36">
        <v>1</v>
      </c>
      <c r="G49" s="47" t="s">
        <v>105</v>
      </c>
      <c r="H49" s="1" t="str">
        <f t="shared" si="0"/>
        <v>Q35,,1</v>
      </c>
    </row>
    <row r="50" spans="2:8" ht="42.6" customHeight="1" x14ac:dyDescent="0.3">
      <c r="B50" s="60"/>
      <c r="C50" s="62"/>
      <c r="D50" s="6" t="s">
        <v>22</v>
      </c>
      <c r="E50" s="26"/>
      <c r="F50" s="37">
        <v>1</v>
      </c>
      <c r="G50" s="1" t="s">
        <v>106</v>
      </c>
      <c r="H50" s="1" t="str">
        <f t="shared" si="0"/>
        <v>Q36,,1</v>
      </c>
    </row>
    <row r="51" spans="2:8" ht="42.6" customHeight="1" thickBot="1" x14ac:dyDescent="0.35">
      <c r="B51" s="61"/>
      <c r="C51" s="66"/>
      <c r="D51" s="16" t="s">
        <v>57</v>
      </c>
      <c r="E51" s="33"/>
      <c r="F51" s="44">
        <v>1</v>
      </c>
      <c r="G51" s="47" t="s">
        <v>107</v>
      </c>
      <c r="H51" s="1" t="str">
        <f t="shared" si="0"/>
        <v>Q37,,1</v>
      </c>
    </row>
    <row r="52" spans="2:8" ht="42.6" customHeight="1" x14ac:dyDescent="0.3">
      <c r="B52" s="60" t="s">
        <v>23</v>
      </c>
      <c r="C52" s="62" t="s">
        <v>24</v>
      </c>
      <c r="D52" s="8" t="s">
        <v>42</v>
      </c>
      <c r="E52" s="34"/>
      <c r="F52" s="45">
        <v>1</v>
      </c>
      <c r="G52" s="1" t="s">
        <v>108</v>
      </c>
      <c r="H52" s="1" t="str">
        <f t="shared" si="0"/>
        <v>Q38,,1</v>
      </c>
    </row>
    <row r="53" spans="2:8" ht="42.6" customHeight="1" x14ac:dyDescent="0.3">
      <c r="B53" s="60"/>
      <c r="C53" s="62"/>
      <c r="D53" s="10" t="s">
        <v>25</v>
      </c>
      <c r="E53" s="25"/>
      <c r="F53" s="36">
        <v>1</v>
      </c>
      <c r="G53" s="47" t="s">
        <v>109</v>
      </c>
      <c r="H53" s="1" t="str">
        <f t="shared" si="0"/>
        <v>Q39,,1</v>
      </c>
    </row>
    <row r="54" spans="2:8" ht="42.6" customHeight="1" x14ac:dyDescent="0.3">
      <c r="B54" s="60"/>
      <c r="C54" s="62"/>
      <c r="D54" s="6" t="s">
        <v>34</v>
      </c>
      <c r="E54" s="26"/>
      <c r="F54" s="37">
        <v>0.5</v>
      </c>
      <c r="G54" s="1" t="s">
        <v>110</v>
      </c>
      <c r="H54" s="1" t="str">
        <f t="shared" si="0"/>
        <v>Q40,,0.5</v>
      </c>
    </row>
    <row r="55" spans="2:8" ht="42.6" customHeight="1" x14ac:dyDescent="0.3">
      <c r="B55" s="60"/>
      <c r="C55" s="63"/>
      <c r="D55" s="10" t="s">
        <v>26</v>
      </c>
      <c r="E55" s="25"/>
      <c r="F55" s="36">
        <v>0.5</v>
      </c>
      <c r="G55" s="47" t="s">
        <v>111</v>
      </c>
      <c r="H55" s="1" t="str">
        <f t="shared" si="0"/>
        <v>Q41,,0.5</v>
      </c>
    </row>
    <row r="56" spans="2:8" ht="42.6" customHeight="1" x14ac:dyDescent="0.3">
      <c r="B56" s="60"/>
      <c r="C56" s="64" t="s">
        <v>27</v>
      </c>
      <c r="D56" s="6" t="s">
        <v>43</v>
      </c>
      <c r="E56" s="26"/>
      <c r="F56" s="37">
        <v>1</v>
      </c>
      <c r="G56" s="1" t="s">
        <v>112</v>
      </c>
      <c r="H56" s="1" t="str">
        <f t="shared" si="0"/>
        <v>Q42,,1</v>
      </c>
    </row>
    <row r="57" spans="2:8" ht="42.6" customHeight="1" x14ac:dyDescent="0.3">
      <c r="B57" s="60"/>
      <c r="C57" s="62"/>
      <c r="D57" s="10" t="s">
        <v>44</v>
      </c>
      <c r="E57" s="25"/>
      <c r="F57" s="36">
        <v>1</v>
      </c>
      <c r="G57" s="47" t="s">
        <v>113</v>
      </c>
      <c r="H57" s="1" t="str">
        <f t="shared" si="0"/>
        <v>Q43,,1</v>
      </c>
    </row>
    <row r="58" spans="2:8" ht="42.6" customHeight="1" thickBot="1" x14ac:dyDescent="0.35">
      <c r="B58" s="60"/>
      <c r="C58" s="62"/>
      <c r="D58" s="7" t="s">
        <v>68</v>
      </c>
      <c r="E58" s="27"/>
      <c r="F58" s="38">
        <v>1</v>
      </c>
      <c r="G58" s="1" t="s">
        <v>114</v>
      </c>
      <c r="H58" s="1" t="str">
        <f t="shared" si="0"/>
        <v>Q44,,1</v>
      </c>
    </row>
    <row r="59" spans="2:8" ht="42.6" customHeight="1" x14ac:dyDescent="0.3">
      <c r="B59" s="59" t="s">
        <v>28</v>
      </c>
      <c r="C59" s="59" t="s">
        <v>28</v>
      </c>
      <c r="D59" s="11" t="s">
        <v>29</v>
      </c>
      <c r="E59" s="35"/>
      <c r="F59" s="39">
        <v>1</v>
      </c>
      <c r="G59" s="47" t="s">
        <v>115</v>
      </c>
      <c r="H59" s="1" t="str">
        <f t="shared" si="0"/>
        <v>Q45,,1</v>
      </c>
    </row>
    <row r="60" spans="2:8" ht="42.6" customHeight="1" x14ac:dyDescent="0.3">
      <c r="B60" s="60"/>
      <c r="C60" s="60"/>
      <c r="D60" s="6" t="s">
        <v>69</v>
      </c>
      <c r="E60" s="26"/>
      <c r="F60" s="37">
        <v>1</v>
      </c>
      <c r="G60" s="1" t="s">
        <v>116</v>
      </c>
      <c r="H60" s="1" t="str">
        <f t="shared" si="0"/>
        <v>Q46,,1</v>
      </c>
    </row>
    <row r="61" spans="2:8" ht="42.6" customHeight="1" thickBot="1" x14ac:dyDescent="0.35">
      <c r="B61" s="61"/>
      <c r="C61" s="61"/>
      <c r="D61" s="16" t="s">
        <v>30</v>
      </c>
      <c r="E61" s="33"/>
      <c r="F61" s="44">
        <v>1</v>
      </c>
      <c r="G61" s="47" t="s">
        <v>117</v>
      </c>
      <c r="H61" s="1" t="str">
        <f t="shared" si="0"/>
        <v>Q47,,1</v>
      </c>
    </row>
    <row r="62" spans="2:8" ht="28.8" customHeight="1" x14ac:dyDescent="0.3"/>
    <row r="63" spans="2:8" ht="28.8" customHeight="1" x14ac:dyDescent="0.3"/>
    <row r="64" spans="2:8" ht="28.8" customHeight="1" x14ac:dyDescent="0.3"/>
    <row r="65" ht="28.8" customHeight="1" x14ac:dyDescent="0.3"/>
    <row r="66" ht="28.8" customHeight="1" x14ac:dyDescent="0.3"/>
    <row r="67" ht="28.8" customHeight="1" x14ac:dyDescent="0.3"/>
    <row r="68" ht="28.8" customHeight="1" x14ac:dyDescent="0.3"/>
    <row r="69" ht="28.8" customHeight="1" x14ac:dyDescent="0.3"/>
    <row r="70" ht="28.8" customHeight="1" x14ac:dyDescent="0.3"/>
    <row r="71" ht="28.8" customHeight="1" x14ac:dyDescent="0.3"/>
    <row r="72" ht="28.8" customHeight="1" x14ac:dyDescent="0.3"/>
    <row r="73" ht="28.8" customHeight="1" x14ac:dyDescent="0.3"/>
    <row r="74" ht="28.8" customHeight="1" x14ac:dyDescent="0.3"/>
    <row r="75" ht="28.8" customHeight="1" x14ac:dyDescent="0.3"/>
    <row r="76" ht="28.8" customHeight="1" x14ac:dyDescent="0.3"/>
    <row r="77" ht="28.8" customHeight="1" x14ac:dyDescent="0.3"/>
    <row r="78" ht="28.8" customHeight="1" x14ac:dyDescent="0.3"/>
    <row r="79" ht="28.8" customHeight="1" x14ac:dyDescent="0.3"/>
    <row r="80" ht="28.8" customHeight="1" x14ac:dyDescent="0.3"/>
    <row r="81" ht="28.8" customHeight="1" x14ac:dyDescent="0.3"/>
    <row r="82" ht="28.8" customHeight="1" x14ac:dyDescent="0.3"/>
    <row r="83" ht="28.8" customHeight="1" x14ac:dyDescent="0.3"/>
    <row r="84" ht="28.8" customHeight="1" x14ac:dyDescent="0.3"/>
    <row r="85" ht="28.8" customHeight="1" x14ac:dyDescent="0.3"/>
    <row r="86" ht="28.8" customHeight="1" x14ac:dyDescent="0.3"/>
    <row r="87" ht="28.8" customHeight="1" x14ac:dyDescent="0.3"/>
    <row r="88" ht="28.8" customHeight="1" x14ac:dyDescent="0.3"/>
    <row r="89" ht="28.8" customHeight="1" x14ac:dyDescent="0.3"/>
    <row r="90" ht="28.8" customHeight="1" x14ac:dyDescent="0.3"/>
    <row r="91" ht="28.8" customHeight="1" x14ac:dyDescent="0.3"/>
    <row r="92" ht="28.8" customHeight="1" x14ac:dyDescent="0.3"/>
    <row r="93" ht="28.8" customHeight="1" x14ac:dyDescent="0.3"/>
    <row r="94" ht="28.8" customHeight="1" x14ac:dyDescent="0.3"/>
    <row r="95" ht="28.8" customHeight="1" x14ac:dyDescent="0.3"/>
    <row r="96" ht="28.8" customHeight="1" x14ac:dyDescent="0.3"/>
    <row r="97" ht="28.8" customHeight="1" x14ac:dyDescent="0.3"/>
    <row r="98" ht="28.8" customHeight="1" x14ac:dyDescent="0.3"/>
    <row r="99" ht="28.8" customHeight="1" x14ac:dyDescent="0.3"/>
    <row r="100" ht="28.8" customHeight="1" x14ac:dyDescent="0.3"/>
    <row r="101" ht="28.8" customHeight="1" x14ac:dyDescent="0.3"/>
    <row r="102" ht="28.8" customHeight="1" x14ac:dyDescent="0.3"/>
    <row r="103" ht="28.8" customHeight="1" x14ac:dyDescent="0.3"/>
    <row r="104" ht="28.8" customHeight="1" x14ac:dyDescent="0.3"/>
    <row r="105" ht="28.8" customHeight="1" x14ac:dyDescent="0.3"/>
    <row r="106" ht="28.8" customHeight="1" x14ac:dyDescent="0.3"/>
    <row r="107" ht="28.8" customHeight="1" x14ac:dyDescent="0.3"/>
    <row r="108" ht="28.8" customHeight="1" x14ac:dyDescent="0.3"/>
    <row r="109" ht="28.8" customHeight="1" x14ac:dyDescent="0.3"/>
    <row r="110" ht="28.8" customHeight="1" x14ac:dyDescent="0.3"/>
    <row r="111" ht="28.8" customHeight="1" x14ac:dyDescent="0.3"/>
    <row r="112" ht="28.8" customHeight="1" x14ac:dyDescent="0.3"/>
    <row r="113" ht="28.8" customHeight="1" x14ac:dyDescent="0.3"/>
    <row r="114" ht="28.8" customHeight="1" x14ac:dyDescent="0.3"/>
    <row r="115" ht="28.8" customHeight="1" x14ac:dyDescent="0.3"/>
    <row r="116" ht="28.8" customHeight="1" x14ac:dyDescent="0.3"/>
    <row r="117" ht="28.8" customHeight="1" x14ac:dyDescent="0.3"/>
    <row r="118" ht="28.8" customHeight="1" x14ac:dyDescent="0.3"/>
    <row r="119" ht="28.8" customHeight="1" x14ac:dyDescent="0.3"/>
    <row r="120" ht="28.8" customHeight="1" x14ac:dyDescent="0.3"/>
    <row r="121" ht="28.8" customHeight="1" x14ac:dyDescent="0.3"/>
    <row r="122" ht="28.8" customHeight="1" x14ac:dyDescent="0.3"/>
    <row r="123" ht="28.8" customHeight="1" x14ac:dyDescent="0.3"/>
    <row r="124" ht="28.8" customHeight="1" x14ac:dyDescent="0.3"/>
    <row r="125" ht="28.8" customHeight="1" x14ac:dyDescent="0.3"/>
    <row r="126" ht="28.8" customHeight="1" x14ac:dyDescent="0.3"/>
    <row r="127" ht="28.8" customHeight="1" x14ac:dyDescent="0.3"/>
    <row r="128" ht="28.8" customHeight="1" x14ac:dyDescent="0.3"/>
    <row r="129" ht="28.8" customHeight="1" x14ac:dyDescent="0.3"/>
    <row r="130" ht="28.8" customHeight="1" x14ac:dyDescent="0.3"/>
    <row r="131" ht="28.8" customHeight="1" x14ac:dyDescent="0.3"/>
    <row r="132" ht="28.8" customHeight="1" x14ac:dyDescent="0.3"/>
    <row r="133" ht="28.8" customHeight="1" x14ac:dyDescent="0.3"/>
    <row r="134" ht="28.8" customHeight="1" x14ac:dyDescent="0.3"/>
    <row r="135" ht="28.8" customHeight="1" x14ac:dyDescent="0.3"/>
    <row r="136" ht="28.8" customHeight="1" x14ac:dyDescent="0.3"/>
    <row r="137" ht="28.8" customHeight="1" x14ac:dyDescent="0.3"/>
    <row r="138" ht="28.8" customHeight="1" x14ac:dyDescent="0.3"/>
    <row r="139" ht="28.8" customHeight="1" x14ac:dyDescent="0.3"/>
    <row r="140" ht="28.8" customHeight="1" x14ac:dyDescent="0.3"/>
    <row r="141" ht="28.8" customHeight="1" x14ac:dyDescent="0.3"/>
    <row r="142" ht="28.8" customHeight="1" x14ac:dyDescent="0.3"/>
    <row r="143" ht="28.8" customHeight="1" x14ac:dyDescent="0.3"/>
    <row r="144" ht="28.8" customHeight="1" x14ac:dyDescent="0.3"/>
    <row r="145" ht="28.8" customHeight="1" x14ac:dyDescent="0.3"/>
    <row r="146" ht="28.8" customHeight="1" x14ac:dyDescent="0.3"/>
    <row r="147" ht="28.8" customHeight="1" x14ac:dyDescent="0.3"/>
    <row r="148" ht="28.8" customHeight="1" x14ac:dyDescent="0.3"/>
    <row r="149" ht="28.8" customHeight="1" x14ac:dyDescent="0.3"/>
    <row r="150" ht="28.8" customHeight="1" x14ac:dyDescent="0.3"/>
    <row r="151" ht="28.8" customHeight="1" x14ac:dyDescent="0.3"/>
    <row r="152" ht="28.8" customHeight="1" x14ac:dyDescent="0.3"/>
    <row r="153" ht="28.8" customHeight="1" x14ac:dyDescent="0.3"/>
    <row r="154" ht="28.8" customHeight="1" x14ac:dyDescent="0.3"/>
    <row r="155" ht="28.8" customHeight="1" x14ac:dyDescent="0.3"/>
    <row r="156" ht="28.8" customHeight="1" x14ac:dyDescent="0.3"/>
    <row r="157" ht="28.8" customHeight="1" x14ac:dyDescent="0.3"/>
    <row r="158" ht="28.8" customHeight="1" x14ac:dyDescent="0.3"/>
    <row r="159" ht="28.8" customHeight="1" x14ac:dyDescent="0.3"/>
    <row r="160" ht="28.8" customHeight="1" x14ac:dyDescent="0.3"/>
    <row r="161" ht="28.8" customHeight="1" x14ac:dyDescent="0.3"/>
    <row r="162" ht="28.8" customHeight="1" x14ac:dyDescent="0.3"/>
    <row r="163" ht="28.8" customHeight="1" x14ac:dyDescent="0.3"/>
    <row r="164" ht="28.8" customHeight="1" x14ac:dyDescent="0.3"/>
    <row r="165" ht="28.8" customHeight="1" x14ac:dyDescent="0.3"/>
    <row r="166" ht="28.8" customHeight="1" x14ac:dyDescent="0.3"/>
    <row r="167" ht="28.8" customHeight="1" x14ac:dyDescent="0.3"/>
    <row r="168" ht="28.8" customHeight="1" x14ac:dyDescent="0.3"/>
    <row r="169" ht="28.8" customHeight="1" x14ac:dyDescent="0.3"/>
    <row r="170" ht="28.8" customHeight="1" x14ac:dyDescent="0.3"/>
    <row r="171" ht="28.8" customHeight="1" x14ac:dyDescent="0.3"/>
    <row r="172" ht="28.8" customHeight="1" x14ac:dyDescent="0.3"/>
    <row r="173" ht="28.8" customHeight="1" x14ac:dyDescent="0.3"/>
    <row r="174" ht="28.8" customHeight="1" x14ac:dyDescent="0.3"/>
    <row r="175" ht="28.8" customHeight="1" x14ac:dyDescent="0.3"/>
    <row r="176" ht="28.8" customHeight="1" x14ac:dyDescent="0.3"/>
    <row r="177" ht="28.8" customHeight="1" x14ac:dyDescent="0.3"/>
    <row r="178" ht="28.8" customHeight="1" x14ac:dyDescent="0.3"/>
    <row r="179" ht="28.8" customHeight="1" x14ac:dyDescent="0.3"/>
    <row r="180" ht="28.8" customHeight="1" x14ac:dyDescent="0.3"/>
    <row r="181" ht="28.8" customHeight="1" x14ac:dyDescent="0.3"/>
    <row r="182" ht="28.8" customHeight="1" x14ac:dyDescent="0.3"/>
    <row r="183" ht="28.8" customHeight="1" x14ac:dyDescent="0.3"/>
    <row r="184" ht="28.8" customHeight="1" x14ac:dyDescent="0.3"/>
    <row r="185" ht="28.8" customHeight="1" x14ac:dyDescent="0.3"/>
    <row r="186" ht="28.8" customHeight="1" x14ac:dyDescent="0.3"/>
    <row r="187" ht="28.8" customHeight="1" x14ac:dyDescent="0.3"/>
    <row r="188" ht="28.8" customHeight="1" x14ac:dyDescent="0.3"/>
    <row r="189" ht="28.8" customHeight="1" x14ac:dyDescent="0.3"/>
    <row r="190" ht="28.8" customHeight="1" x14ac:dyDescent="0.3"/>
    <row r="191" ht="28.8" customHeight="1" x14ac:dyDescent="0.3"/>
    <row r="192" ht="28.8" customHeight="1" x14ac:dyDescent="0.3"/>
    <row r="193" ht="28.8" customHeight="1" x14ac:dyDescent="0.3"/>
    <row r="194" ht="28.8" customHeight="1" x14ac:dyDescent="0.3"/>
    <row r="195" ht="28.8" customHeight="1" x14ac:dyDescent="0.3"/>
    <row r="196" ht="28.8" customHeight="1" x14ac:dyDescent="0.3"/>
    <row r="197" ht="28.8" customHeight="1" x14ac:dyDescent="0.3"/>
    <row r="198" ht="28.8" customHeight="1" x14ac:dyDescent="0.3"/>
  </sheetData>
  <mergeCells count="19">
    <mergeCell ref="C15:C18"/>
    <mergeCell ref="C19:C20"/>
    <mergeCell ref="B15:B20"/>
    <mergeCell ref="B2:F2"/>
    <mergeCell ref="B59:B61"/>
    <mergeCell ref="C25:C28"/>
    <mergeCell ref="C29:C31"/>
    <mergeCell ref="C32:C41"/>
    <mergeCell ref="C42:C44"/>
    <mergeCell ref="C45:C48"/>
    <mergeCell ref="C49:C51"/>
    <mergeCell ref="C52:C55"/>
    <mergeCell ref="C56:C58"/>
    <mergeCell ref="C59:C61"/>
    <mergeCell ref="B21:B24"/>
    <mergeCell ref="C21:C24"/>
    <mergeCell ref="B25:B41"/>
    <mergeCell ref="B42:B51"/>
    <mergeCell ref="B52:B58"/>
  </mergeCells>
  <phoneticPr fontId="10" type="noConversion"/>
  <dataValidations count="1">
    <dataValidation type="list" allowBlank="1" showInputMessage="1" showErrorMessage="1" sqref="E15:E61" xr:uid="{DDBFF9BC-A376-44E4-9EF0-101A8F72CB94}">
      <formula1>"Yes,No"</formula1>
    </dataValidation>
  </dataValidations>
  <hyperlinks>
    <hyperlink ref="B7" r:id="rId1" xr:uid="{2DAE8FBC-870E-43B9-87D4-A7224EE729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DRM Diagnostic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VDB</dc:creator>
  <cp:keywords/>
  <dc:description/>
  <cp:lastModifiedBy>Joaquin Munoz Diaz</cp:lastModifiedBy>
  <cp:revision/>
  <dcterms:created xsi:type="dcterms:W3CDTF">2025-11-03T15:08:11Z</dcterms:created>
  <dcterms:modified xsi:type="dcterms:W3CDTF">2025-12-22T18:11:26Z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2025-11-03T15:41:25Z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62d7a113-bfc2-40be-a25f-7fd6196ccc61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