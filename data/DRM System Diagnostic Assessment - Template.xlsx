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qnmu\OneDrive\World_Bank_DRM\Cat_DDO_DRM_Diagnostic_Dashboard\data\"/>
    </mc:Choice>
  </mc:AlternateContent>
  <xr:revisionPtr revIDLastSave="0" documentId="13_ncr:1_{783161E0-90EF-4614-AEBE-8F830DC54AA9}" xr6:coauthVersionLast="47" xr6:coauthVersionMax="47" xr10:uidLastSave="{00000000-0000-0000-0000-000000000000}"/>
  <bookViews>
    <workbookView xWindow="30612" yWindow="4248" windowWidth="23256" windowHeight="12456" activeTab="1" xr2:uid="{D35593D8-ABCE-4EA8-921D-2F7793671AB9}"/>
  </bookViews>
  <sheets>
    <sheet name="Diagnostic Questions" sheetId="1" r:id="rId1"/>
    <sheet name="Summary (to be hidde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F8" i="2"/>
  <c r="D8" i="2"/>
  <c r="F3" i="2" l="1"/>
  <c r="I2" i="2"/>
  <c r="F4" i="2"/>
  <c r="E9" i="1"/>
  <c r="E8" i="2"/>
  <c r="E13" i="2"/>
  <c r="D13" i="2"/>
  <c r="G14" i="2"/>
  <c r="F14" i="2"/>
  <c r="E14" i="2"/>
  <c r="D14" i="2"/>
  <c r="I14" i="2" s="1"/>
  <c r="G13" i="2"/>
  <c r="F13" i="2"/>
  <c r="G12" i="2"/>
  <c r="F12" i="2"/>
  <c r="E12" i="2"/>
  <c r="D12" i="2"/>
  <c r="G11" i="2"/>
  <c r="F11" i="2"/>
  <c r="E11" i="2"/>
  <c r="D11" i="2"/>
  <c r="I11" i="2" s="1"/>
  <c r="F10" i="2"/>
  <c r="G10" i="2"/>
  <c r="E10" i="2"/>
  <c r="D10" i="2"/>
  <c r="G9" i="2"/>
  <c r="F9" i="2"/>
  <c r="E9" i="2"/>
  <c r="D9" i="2"/>
  <c r="G8" i="2"/>
  <c r="D7" i="2"/>
  <c r="G7" i="2"/>
  <c r="F7" i="2"/>
  <c r="E7" i="2"/>
  <c r="G6" i="2"/>
  <c r="F6" i="2"/>
  <c r="E6" i="2"/>
  <c r="D6" i="2"/>
  <c r="G5" i="2"/>
  <c r="F5" i="2"/>
  <c r="E5" i="2"/>
  <c r="D5" i="2"/>
  <c r="G4" i="2"/>
  <c r="E4" i="2"/>
  <c r="D4" i="2"/>
  <c r="G3" i="2"/>
  <c r="E3" i="2"/>
  <c r="I10" i="2" l="1"/>
  <c r="I13" i="2"/>
  <c r="I6" i="2"/>
  <c r="I7" i="2"/>
  <c r="I4" i="2"/>
  <c r="I12" i="2"/>
  <c r="I3" i="2"/>
  <c r="I9" i="2"/>
  <c r="I8" i="2"/>
  <c r="I5" i="2"/>
  <c r="E7" i="1" l="1"/>
</calcChain>
</file>

<file path=xl/sharedStrings.xml><?xml version="1.0" encoding="utf-8"?>
<sst xmlns="http://schemas.openxmlformats.org/spreadsheetml/2006/main" count="223" uniqueCount="111">
  <si>
    <t>DRM Pillar</t>
  </si>
  <si>
    <t>Legal and institutional set up</t>
  </si>
  <si>
    <t>Key DRM achievements</t>
  </si>
  <si>
    <t>Policy enablers</t>
  </si>
  <si>
    <t>1. Legal and Institutional DRM Framework</t>
  </si>
  <si>
    <t>1.1. DRM policies and institutions</t>
  </si>
  <si>
    <t xml:space="preserve">Did the institution responsible for coordinating or leading DRM activities receive dedicated funding for these functions in the last fiscal year? </t>
  </si>
  <si>
    <t xml:space="preserve">Yes/No: </t>
  </si>
  <si>
    <t>1.2. Mainstreaming DRM into national and sectoral development plans</t>
  </si>
  <si>
    <t>Does the National Development Strategy (or equivalent national planning instrument) contain objectives, targets or indicators related to DRM and/or CCA?</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</si>
  <si>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</si>
  <si>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</si>
  <si>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</si>
  <si>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</si>
  <si>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</si>
  <si>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</si>
  <si>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</si>
  <si>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</si>
  <si>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</si>
  <si>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</si>
  <si>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</si>
  <si>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</si>
  <si>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</si>
  <si>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</si>
  <si>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</si>
  <si>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</si>
  <si>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</si>
  <si>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</si>
  <si>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</si>
  <si>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</si>
  <si>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</si>
  <si>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</si>
  <si>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</si>
  <si>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</si>
  <si>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</si>
  <si>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</si>
  <si>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</si>
  <si>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</si>
  <si>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</si>
  <si>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</si>
  <si>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</si>
  <si>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</si>
  <si>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</si>
  <si>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</si>
  <si>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</si>
  <si>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</si>
  <si>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</si>
  <si>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Has the government conducted stress tests of public debt that include disaster or climate-related scenarios?</t>
  </si>
  <si>
    <t>5.2. Disaster Risk Financing (DRF) strategies and instruments</t>
  </si>
  <si>
    <t>(1) Is the disaster fund (or equivalent mechanism) receiving a budget allocation? 
(2) Are there regulations that define standards for catastrophe insurance coverage of public or private assets?</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</si>
  <si>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</si>
  <si>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</si>
  <si>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</si>
  <si>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</si>
  <si>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</si>
  <si>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</si>
  <si>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</si>
  <si>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</si>
  <si>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</si>
  <si>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Intermediary DRM outputs</t>
  </si>
  <si>
    <t xml:space="preserve">(1) Yes/No: </t>
  </si>
  <si>
    <t xml:space="preserve">(2) Yes/No: </t>
  </si>
  <si>
    <t xml:space="preserve">(3) Yes/No: </t>
  </si>
  <si>
    <t>(3) Yes/No:</t>
  </si>
  <si>
    <t>(4) Yes/No:</t>
  </si>
  <si>
    <t>(1) Yes/No: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</si>
  <si>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</si>
  <si>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</si>
  <si>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</si>
  <si>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</si>
  <si>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</si>
  <si>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</si>
  <si>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</si>
  <si>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</si>
  <si>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Fiscal risk management</t>
  </si>
  <si>
    <t>Resilient Reconstruction</t>
  </si>
  <si>
    <t>Legal and Institutional DRM Framework</t>
  </si>
  <si>
    <t>Risk Reduction</t>
  </si>
  <si>
    <t>Preparedness</t>
  </si>
  <si>
    <t>Financial Protection</t>
  </si>
  <si>
    <t>Instructions</t>
  </si>
  <si>
    <t xml:space="preserve">https://cat-ddo-drm-diagnostic-dashboard.onrender.com </t>
  </si>
  <si>
    <t>DRM System - Diagnostic</t>
  </si>
  <si>
    <t xml:space="preserve">Number of questions unanswered: </t>
  </si>
  <si>
    <t>1. Answer the questions in the following matrix.</t>
  </si>
  <si>
    <t>2. Go to the following website. The website may take some time to load. Please retry if needed.</t>
  </si>
  <si>
    <t>3. Copy and Paste Cell E7 to the website</t>
  </si>
  <si>
    <t>Thematic Area</t>
  </si>
  <si>
    <t>Yes</t>
  </si>
  <si>
    <t>DRF strategies and instruments</t>
  </si>
  <si>
    <t>Risk identification</t>
  </si>
  <si>
    <t>Early warning systems</t>
  </si>
  <si>
    <t>Emergency preparedness and response</t>
  </si>
  <si>
    <t>Adaptive social protection</t>
  </si>
  <si>
    <t>Resilient reconstruction</t>
  </si>
  <si>
    <t>No</t>
  </si>
  <si>
    <t>Is there a legal framework (e.g., a DRM law or other instruments) defining distinct mandates for disaster risk reduction and emergency management?</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</si>
  <si>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means, or result?</t>
  </si>
  <si>
    <t>Do laws and regulations mandate the use of risk information (e.g., hazard maps, risk assessments...) to develop territorial, spatial, land use, or urban planning instruments?</t>
  </si>
  <si>
    <t xml:space="preserve">Do official guidelines exist defining disaster and climate risk screening methodologies for new public investment projects? </t>
  </si>
  <si>
    <t>Are there legal and institutional arrangements for integrated water resources management (IWRM) that explicitly incorporate flood and drought risk considerations?</t>
  </si>
  <si>
    <t>(1) Do at least 75% of essential government entities have an emergency response protocol or operational continuity plan? 
(2) Do at least 75% of subnational EP&amp;R entities have an approved contingency plan or emergency response protocol?</t>
  </si>
  <si>
    <t>During the most recent disaster or climate-related shock, was support promptly provided to the population through social‐protection programs?  (e.g., cash transfers in the case of drought)?</t>
  </si>
  <si>
    <t>sheet password is 1234</t>
  </si>
  <si>
    <t>Since the adoption of the DRM legal framework: 
(1) have DRM policy instruments (e.g., DRM strategies or policies) been officially approved? 
(2)  have DRM-related regulations (e.g., rules on the structure or functions of the DRM agency) been officially approved?</t>
  </si>
  <si>
    <t>Is there a reporting or monitoring mechanism to track progress toward DRM and/or CCA targets included in the National Development Strategies?</t>
  </si>
  <si>
    <t>Do key fiscal policy documents (e.g., the medium-term fiscal framework or fiscal risk statements) include quantified assessments of disaster risks?</t>
  </si>
  <si>
    <t>Over the past 4 years, has the $ amount of financing that can be mobilized through sovereign risk financing instruments increased?</t>
  </si>
  <si>
    <t>Are there sovereign risk financing instruments (e.g., disaster or emergency funds, contingent loans, insurance or other risk transfer mechanisms) in place to manage the financial impact of disasters and climate-related shocks?</t>
  </si>
  <si>
    <t>Do laws and regulations clearly define institutional responsibilities and mandates for producing, acquiring, and managing geospatial information, including risk information (e.g., hazard information, vulnerability assessments, risk profiles, historical disaster databases)?</t>
  </si>
  <si>
    <t>Are there legal and institutional arrangements for water supply and sanitation in urban areas that take flood risk into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</si>
</sst>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
      <b/>
      <sz val="15"/>
      <color theme="3"/>
      <name val="Aptos Narrow"/>
      <family val="2"/>
      <scheme val="minor"/>
    </font>
    <font>
      <sz val="11"/>
      <color rgb="FFFF0000"/>
      <name val="Aptos Narrow"/>
      <family val="2"/>
      <scheme val="minor"/>
    </font>
    <font>
      <i/>
      <sz val="11"/>
      <color rgb="FF7F7F7F"/>
      <name val="Aptos Narrow"/>
      <family val="2"/>
      <scheme val="minor"/>
    </font>
    <font>
      <u/>
      <sz val="11"/>
      <color theme="10"/>
      <name val="Aptos Narrow"/>
      <family val="2"/>
      <scheme val="minor"/>
    </font>
    <font>
      <b/>
      <sz val="18"/>
      <color theme="3"/>
      <name val="Aptos Narrow"/>
      <family val="2"/>
      <scheme val="minor"/>
    </font>
    <font>
      <i/>
      <sz val="12"/>
      <color rgb="FF7F7F7F"/>
      <name val="Aptos Narrow"/>
      <family val="2"/>
      <scheme val="minor"/>
    </font>
    <font>
      <b/>
      <u/>
      <sz val="14"/>
      <color theme="1"/>
      <name val="Aptos Narrow"/>
      <family val="2"/>
      <scheme val="minor"/>
    </font>
    <font>
      <sz val="11"/>
      <color theme="5" tint="-0.249977111117893"/>
      <name val="Aptos Narrow"/>
      <family val="2"/>
      <scheme val="minor"/>
    </font>
  </fonts>
  <fills count="5">
    <fill>
      <patternFill patternType="none"/>
    </fill>
    <fill>
      <patternFill patternType="gray125"/>
    </fill>
    <fill>
      <patternFill patternType="solid">
        <fgColor rgb="FFF2F2F2"/>
      </patternFill>
    </fill>
    <fill>
      <patternFill patternType="solid">
        <fgColor theme="4"/>
      </patternFill>
    </fill>
    <fill>
      <patternFill patternType="solid">
        <fgColor rgb="FFE6F0FA"/>
        <bgColor indexed="64"/>
      </patternFill>
    </fill>
  </fills>
  <borders count="35">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
      <left/>
      <right/>
      <top/>
      <bottom style="thick">
        <color theme="4"/>
      </bottom>
      <diagonal/>
    </border>
  </borders>
  <cellStyleXfs count="7">
    <xf numFmtId="0" fontId="0" fillId="0" borderId="0"/>
    <xf numFmtId="0" fontId="16" fillId="2" borderId="4" applyNumberFormat="0" applyBorder="0" applyAlignment="0" applyProtection="0"/>
    <xf numFmtId="0" fontId="18" fillId="3" borderId="0" applyNumberFormat="0" applyBorder="0" applyAlignment="0" applyProtection="0"/>
    <xf numFmtId="0" fontId="19" fillId="0" borderId="34" applyNumberFormat="0" applyFill="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46">
    <xf numFmtId="0" fontId="0" fillId="0" borderId="0" xfId="0"/>
    <xf numFmtId="0" fontId="0" fillId="0" borderId="0" xfId="0" applyAlignment="1">
      <alignment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0" fillId="0" borderId="0" xfId="0" applyAlignment="1">
      <alignment horizontal="center"/>
    </xf>
    <xf numFmtId="0" fontId="0" fillId="0" borderId="0" xfId="0" applyAlignment="1">
      <alignment vertical="center" wrapText="1"/>
    </xf>
    <xf numFmtId="0" fontId="12"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3" fillId="0" borderId="0" xfId="0" applyFont="1" applyAlignment="1">
      <alignment vertical="center" wrapText="1"/>
    </xf>
    <xf numFmtId="0" fontId="0" fillId="0" borderId="5" xfId="0" applyBorder="1"/>
    <xf numFmtId="0" fontId="0" fillId="0" borderId="5" xfId="0" applyBorder="1" applyAlignment="1">
      <alignment wrapText="1"/>
    </xf>
    <xf numFmtId="0" fontId="16" fillId="2" borderId="0" xfId="1" applyBorder="1" applyAlignment="1">
      <alignment horizontal="left" vertical="center"/>
    </xf>
    <xf numFmtId="0" fontId="23" fillId="0" borderId="34" xfId="3" applyFont="1"/>
    <xf numFmtId="0" fontId="24" fillId="0" borderId="0" xfId="5" applyFont="1"/>
    <xf numFmtId="0" fontId="25" fillId="0" borderId="0" xfId="0" applyFont="1"/>
    <xf numFmtId="0" fontId="26" fillId="0" borderId="0" xfId="4" applyFont="1"/>
    <xf numFmtId="0" fontId="0" fillId="0" borderId="0" xfId="0" applyProtection="1">
      <protection locked="0"/>
    </xf>
    <xf numFmtId="0" fontId="17" fillId="3" borderId="12" xfId="2" applyFont="1" applyBorder="1" applyAlignment="1" applyProtection="1">
      <alignment horizontal="center" vertical="center" wrapText="1"/>
      <protection locked="0"/>
    </xf>
    <xf numFmtId="0" fontId="17" fillId="3" borderId="33" xfId="2" applyFont="1" applyBorder="1" applyAlignment="1" applyProtection="1">
      <alignment horizontal="center" vertical="center" wrapText="1"/>
      <protection locked="0"/>
    </xf>
    <xf numFmtId="0" fontId="1" fillId="4" borderId="8" xfId="0" applyFont="1" applyFill="1" applyBorder="1" applyAlignment="1" applyProtection="1">
      <alignment horizontal="right" vertical="center" wrapText="1"/>
      <protection locked="0"/>
    </xf>
    <xf numFmtId="49" fontId="16" fillId="2" borderId="9" xfId="1" applyNumberFormat="1" applyBorder="1" applyAlignment="1" applyProtection="1">
      <alignment horizontal="center" vertical="center" wrapText="1"/>
      <protection locked="0"/>
    </xf>
    <xf numFmtId="0" fontId="2" fillId="4" borderId="8" xfId="0" applyFont="1" applyFill="1" applyBorder="1" applyAlignment="1" applyProtection="1">
      <alignment horizontal="right" vertical="center" wrapText="1"/>
      <protection locked="0"/>
    </xf>
    <xf numFmtId="0" fontId="16" fillId="2" borderId="9" xfId="1" applyBorder="1" applyAlignment="1" applyProtection="1">
      <alignment horizontal="center" vertical="center" wrapText="1"/>
      <protection locked="0"/>
    </xf>
    <xf numFmtId="0" fontId="16" fillId="2" borderId="27" xfId="1" applyBorder="1" applyAlignment="1" applyProtection="1">
      <alignment horizontal="center" vertical="center" wrapText="1"/>
      <protection locked="0"/>
    </xf>
    <xf numFmtId="0" fontId="2" fillId="4" borderId="8" xfId="0" applyFont="1" applyFill="1" applyBorder="1" applyAlignment="1" applyProtection="1">
      <alignment vertical="center" wrapText="1"/>
      <protection locked="0"/>
    </xf>
    <xf numFmtId="0" fontId="1" fillId="4" borderId="0" xfId="0" applyFont="1" applyFill="1" applyAlignment="1" applyProtection="1">
      <alignment horizontal="right" vertical="center" wrapText="1"/>
      <protection locked="0"/>
    </xf>
    <xf numFmtId="0" fontId="2" fillId="4" borderId="8" xfId="0" applyFont="1" applyFill="1" applyBorder="1" applyAlignment="1" applyProtection="1">
      <alignment horizontal="center" vertical="center" wrapText="1"/>
      <protection locked="0"/>
    </xf>
    <xf numFmtId="0" fontId="15" fillId="4" borderId="8" xfId="0" applyFont="1" applyFill="1" applyBorder="1" applyAlignment="1" applyProtection="1">
      <alignment horizontal="right" vertical="center" wrapText="1"/>
      <protection locked="0"/>
    </xf>
    <xf numFmtId="0" fontId="2" fillId="4" borderId="8" xfId="0" applyFont="1" applyFill="1" applyBorder="1" applyAlignment="1" applyProtection="1">
      <alignment horizontal="right" vertical="top" wrapText="1"/>
      <protection locked="0"/>
    </xf>
    <xf numFmtId="0" fontId="16" fillId="2" borderId="27" xfId="1" applyBorder="1" applyAlignment="1" applyProtection="1">
      <alignment horizontal="center" vertical="top" wrapText="1"/>
      <protection locked="0"/>
    </xf>
    <xf numFmtId="0" fontId="2" fillId="4" borderId="10" xfId="0" applyFont="1" applyFill="1" applyBorder="1" applyAlignment="1" applyProtection="1">
      <alignment vertical="center" wrapText="1"/>
      <protection locked="0"/>
    </xf>
    <xf numFmtId="0" fontId="15" fillId="4" borderId="10" xfId="0" applyFont="1" applyFill="1" applyBorder="1" applyAlignment="1" applyProtection="1">
      <alignment vertical="center" wrapText="1"/>
      <protection locked="0"/>
    </xf>
    <xf numFmtId="0" fontId="1" fillId="4" borderId="18" xfId="0" applyFont="1" applyFill="1" applyBorder="1" applyAlignment="1" applyProtection="1">
      <alignment horizontal="right" vertical="center" wrapText="1"/>
      <protection locked="0"/>
    </xf>
    <xf numFmtId="0" fontId="2" fillId="4" borderId="22" xfId="0" applyFont="1" applyFill="1" applyBorder="1" applyAlignment="1" applyProtection="1">
      <alignment horizontal="right" vertical="center" wrapText="1"/>
      <protection locked="0"/>
    </xf>
    <xf numFmtId="0" fontId="16" fillId="2" borderId="23" xfId="1" applyBorder="1" applyAlignment="1" applyProtection="1">
      <alignment horizontal="center" vertical="center" wrapText="1"/>
      <protection locked="0"/>
    </xf>
    <xf numFmtId="0" fontId="16" fillId="2" borderId="25" xfId="1" applyBorder="1" applyAlignment="1" applyProtection="1">
      <alignment horizontal="center" vertical="center" wrapText="1"/>
      <protection locked="0"/>
    </xf>
    <xf numFmtId="0" fontId="2" fillId="0" borderId="8" xfId="0" applyFont="1" applyBorder="1" applyAlignment="1" applyProtection="1">
      <alignment horizontal="right" vertical="center" wrapText="1"/>
      <protection locked="0"/>
    </xf>
    <xf numFmtId="0" fontId="15" fillId="0" borderId="8" xfId="0" applyFont="1" applyBorder="1" applyAlignment="1" applyProtection="1">
      <alignment horizontal="right" vertical="center" wrapText="1"/>
      <protection locked="0"/>
    </xf>
    <xf numFmtId="0" fontId="2" fillId="0" borderId="0" xfId="0" applyFont="1" applyAlignment="1" applyProtection="1">
      <alignment horizontal="right" vertical="center" wrapText="1"/>
      <protection locked="0"/>
    </xf>
    <xf numFmtId="0" fontId="2" fillId="0" borderId="22" xfId="0" applyFont="1" applyBorder="1" applyAlignment="1" applyProtection="1">
      <alignment horizontal="right" vertical="center" wrapText="1"/>
      <protection locked="0"/>
    </xf>
    <xf numFmtId="0" fontId="2" fillId="0" borderId="23" xfId="0" applyFont="1" applyBorder="1" applyAlignment="1" applyProtection="1">
      <alignment horizontal="right" vertical="center" wrapText="1"/>
      <protection locked="0"/>
    </xf>
    <xf numFmtId="0" fontId="2" fillId="0" borderId="24" xfId="0" applyFont="1" applyBorder="1" applyAlignment="1" applyProtection="1">
      <alignment horizontal="right" vertical="center" wrapText="1"/>
      <protection locked="0"/>
    </xf>
    <xf numFmtId="0" fontId="2" fillId="0" borderId="22" xfId="0" applyFont="1" applyBorder="1" applyAlignment="1" applyProtection="1">
      <alignment vertical="center" wrapText="1"/>
      <protection locked="0"/>
    </xf>
    <xf numFmtId="0" fontId="2" fillId="0" borderId="25" xfId="0" applyFont="1" applyBorder="1" applyAlignment="1" applyProtection="1">
      <alignment horizontal="right" vertical="center" wrapText="1"/>
      <protection locked="0"/>
    </xf>
    <xf numFmtId="0" fontId="2" fillId="4" borderId="10" xfId="0" applyFont="1" applyFill="1" applyBorder="1" applyAlignment="1" applyProtection="1">
      <alignment horizontal="right" vertical="center" wrapText="1"/>
      <protection locked="0"/>
    </xf>
    <xf numFmtId="0" fontId="16" fillId="2" borderId="18" xfId="1" applyBorder="1" applyAlignment="1" applyProtection="1">
      <alignment horizontal="center" vertical="center" wrapText="1"/>
      <protection locked="0"/>
    </xf>
    <xf numFmtId="0" fontId="1" fillId="4" borderId="11" xfId="0" applyFont="1" applyFill="1" applyBorder="1" applyAlignment="1" applyProtection="1">
      <alignment horizontal="right" vertical="center" wrapText="1"/>
      <protection locked="0"/>
    </xf>
    <xf numFmtId="0" fontId="1" fillId="4" borderId="0" xfId="0" applyFont="1" applyFill="1" applyAlignment="1" applyProtection="1">
      <alignment vertical="center" wrapText="1"/>
      <protection locked="0"/>
    </xf>
    <xf numFmtId="0" fontId="1" fillId="4" borderId="8" xfId="0" applyFont="1" applyFill="1" applyBorder="1" applyAlignment="1" applyProtection="1">
      <alignment vertical="center" wrapText="1"/>
      <protection locked="0"/>
    </xf>
    <xf numFmtId="0" fontId="1" fillId="4" borderId="27" xfId="0" applyFont="1" applyFill="1" applyBorder="1" applyAlignment="1" applyProtection="1">
      <alignment horizontal="right" vertical="center" wrapText="1"/>
      <protection locked="0"/>
    </xf>
    <xf numFmtId="0" fontId="16" fillId="2" borderId="11" xfId="1" applyBorder="1" applyAlignment="1" applyProtection="1">
      <alignment horizontal="center" vertical="center" wrapText="1"/>
      <protection locked="0"/>
    </xf>
    <xf numFmtId="0" fontId="1" fillId="4" borderId="10" xfId="0" applyFont="1" applyFill="1" applyBorder="1" applyAlignment="1" applyProtection="1">
      <alignment vertical="center" wrapText="1"/>
      <protection locked="0"/>
    </xf>
    <xf numFmtId="0" fontId="15" fillId="4" borderId="0" xfId="0" applyFont="1" applyFill="1" applyAlignment="1" applyProtection="1">
      <alignment horizontal="right" vertical="center" wrapText="1"/>
      <protection locked="0"/>
    </xf>
    <xf numFmtId="0" fontId="2" fillId="4" borderId="0" xfId="0" applyFont="1" applyFill="1" applyAlignment="1" applyProtection="1">
      <alignment horizontal="right" vertical="center" wrapText="1"/>
      <protection locked="0"/>
    </xf>
    <xf numFmtId="0" fontId="2" fillId="4" borderId="22" xfId="0" applyFont="1" applyFill="1" applyBorder="1" applyAlignment="1" applyProtection="1">
      <alignment vertical="center" wrapText="1"/>
      <protection locked="0"/>
    </xf>
    <xf numFmtId="0" fontId="1" fillId="4" borderId="24" xfId="0" applyFont="1" applyFill="1" applyBorder="1" applyAlignment="1" applyProtection="1">
      <alignment horizontal="right" vertical="center" wrapText="1"/>
      <protection locked="0"/>
    </xf>
    <xf numFmtId="0" fontId="1" fillId="4" borderId="23" xfId="0" applyFont="1" applyFill="1" applyBorder="1" applyAlignment="1" applyProtection="1">
      <alignment horizontal="right" vertical="center" wrapText="1"/>
      <protection locked="0"/>
    </xf>
    <xf numFmtId="0" fontId="2" fillId="4" borderId="24" xfId="0" applyFont="1" applyFill="1" applyBorder="1" applyAlignment="1" applyProtection="1">
      <alignment horizontal="right" vertical="center" wrapText="1"/>
      <protection locked="0"/>
    </xf>
    <xf numFmtId="0" fontId="1" fillId="4" borderId="25" xfId="0" applyFont="1" applyFill="1" applyBorder="1" applyAlignment="1" applyProtection="1">
      <alignment horizontal="right" vertical="center" wrapText="1"/>
      <protection locked="0"/>
    </xf>
    <xf numFmtId="0" fontId="1" fillId="0" borderId="10" xfId="0" applyFont="1" applyBorder="1" applyAlignment="1" applyProtection="1">
      <alignment horizontal="right" vertical="center" wrapText="1"/>
      <protection locked="0"/>
    </xf>
    <xf numFmtId="0" fontId="1" fillId="0" borderId="8" xfId="0" applyFont="1" applyBorder="1" applyAlignment="1" applyProtection="1">
      <alignment horizontal="right" vertical="center" wrapText="1"/>
      <protection locked="0"/>
    </xf>
    <xf numFmtId="0" fontId="1" fillId="0" borderId="0" xfId="0" applyFont="1" applyAlignment="1" applyProtection="1">
      <alignment horizontal="right" vertical="center" wrapText="1"/>
      <protection locked="0"/>
    </xf>
    <xf numFmtId="0" fontId="1" fillId="0" borderId="10" xfId="0" applyFont="1" applyBorder="1" applyAlignment="1" applyProtection="1">
      <alignment vertical="center" wrapText="1"/>
      <protection locked="0"/>
    </xf>
    <xf numFmtId="0" fontId="2" fillId="0" borderId="11" xfId="0" applyFont="1" applyBorder="1" applyAlignment="1" applyProtection="1">
      <alignment horizontal="right" vertical="center" wrapText="1"/>
      <protection locked="0"/>
    </xf>
    <xf numFmtId="0" fontId="2" fillId="0" borderId="18" xfId="0" applyFont="1" applyBorder="1" applyAlignment="1" applyProtection="1">
      <alignment horizontal="right" vertical="center" wrapText="1"/>
      <protection locked="0"/>
    </xf>
    <xf numFmtId="0" fontId="1" fillId="0" borderId="22" xfId="0" applyFont="1" applyBorder="1" applyAlignment="1" applyProtection="1">
      <alignment horizontal="right" vertical="center" wrapText="1"/>
      <protection locked="0"/>
    </xf>
    <xf numFmtId="0" fontId="1" fillId="0" borderId="24" xfId="0" applyFont="1" applyBorder="1" applyAlignment="1" applyProtection="1">
      <alignment horizontal="right" vertical="center" wrapText="1"/>
      <protection locked="0"/>
    </xf>
    <xf numFmtId="0" fontId="15" fillId="4" borderId="22" xfId="0" applyFont="1" applyFill="1" applyBorder="1" applyAlignment="1" applyProtection="1">
      <alignment horizontal="right" vertical="center" wrapText="1"/>
      <protection locked="0"/>
    </xf>
    <xf numFmtId="0" fontId="2" fillId="4" borderId="24" xfId="0" applyFont="1" applyFill="1" applyBorder="1" applyAlignment="1" applyProtection="1">
      <alignment vertical="center" wrapText="1"/>
      <protection locked="0"/>
    </xf>
    <xf numFmtId="0" fontId="8" fillId="4" borderId="12" xfId="0" applyFont="1" applyFill="1" applyBorder="1" applyAlignment="1" applyProtection="1">
      <alignment horizontal="center" vertical="center" wrapText="1"/>
      <protection locked="0"/>
    </xf>
    <xf numFmtId="0" fontId="8" fillId="4" borderId="17" xfId="0" applyFont="1" applyFill="1" applyBorder="1" applyAlignment="1" applyProtection="1">
      <alignment horizontal="center" vertical="center" wrapText="1"/>
      <protection locked="0"/>
    </xf>
    <xf numFmtId="0" fontId="8" fillId="4" borderId="20" xfId="0" applyFont="1" applyFill="1" applyBorder="1" applyAlignment="1" applyProtection="1">
      <alignment horizontal="center" vertical="center" wrapText="1"/>
      <protection locked="0"/>
    </xf>
    <xf numFmtId="0" fontId="10" fillId="4" borderId="2" xfId="0" applyFont="1" applyFill="1" applyBorder="1" applyAlignment="1" applyProtection="1">
      <alignment horizontal="center" vertical="center" wrapText="1"/>
      <protection locked="0"/>
    </xf>
    <xf numFmtId="0" fontId="10" fillId="4" borderId="21" xfId="0" applyFont="1" applyFill="1" applyBorder="1" applyAlignment="1" applyProtection="1">
      <alignment horizontal="center" vertical="center" wrapText="1"/>
      <protection locked="0"/>
    </xf>
    <xf numFmtId="0" fontId="7" fillId="0" borderId="0" xfId="0" applyFont="1" applyAlignment="1">
      <alignment horizontal="left" wrapText="1"/>
    </xf>
    <xf numFmtId="0" fontId="22" fillId="0" borderId="0" xfId="6"/>
    <xf numFmtId="0" fontId="9" fillId="0" borderId="12" xfId="0" applyFont="1" applyBorder="1" applyAlignment="1" applyProtection="1">
      <alignment horizontal="center" vertical="center" wrapText="1"/>
      <protection locked="0"/>
    </xf>
    <xf numFmtId="0" fontId="9" fillId="0" borderId="20" xfId="0" applyFont="1" applyBorder="1" applyAlignment="1" applyProtection="1">
      <alignment horizontal="center" vertical="center" wrapText="1"/>
      <protection locked="0"/>
    </xf>
    <xf numFmtId="0" fontId="9" fillId="0" borderId="17" xfId="0" applyFont="1" applyBorder="1" applyAlignment="1" applyProtection="1">
      <alignment horizontal="center" vertical="center" wrapText="1"/>
      <protection locked="0"/>
    </xf>
    <xf numFmtId="0" fontId="11" fillId="0" borderId="13"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wrapText="1"/>
      <protection locked="0"/>
    </xf>
    <xf numFmtId="0" fontId="11" fillId="0" borderId="2" xfId="0" applyFont="1" applyBorder="1" applyAlignment="1" applyProtection="1">
      <alignment horizontal="center" vertical="center" wrapText="1"/>
      <protection locked="0"/>
    </xf>
    <xf numFmtId="0" fontId="11" fillId="0" borderId="21" xfId="0" applyFont="1" applyBorder="1" applyAlignment="1" applyProtection="1">
      <alignment horizontal="center" vertical="center" wrapText="1"/>
      <protection locked="0"/>
    </xf>
    <xf numFmtId="0" fontId="10" fillId="4" borderId="13" xfId="0" applyFont="1" applyFill="1" applyBorder="1" applyAlignment="1" applyProtection="1">
      <alignment horizontal="center" vertical="center" wrapText="1"/>
      <protection locked="0"/>
    </xf>
    <xf numFmtId="0" fontId="10" fillId="4" borderId="3" xfId="0" applyFont="1" applyFill="1" applyBorder="1" applyAlignment="1" applyProtection="1">
      <alignment horizontal="center" vertical="center" wrapText="1"/>
      <protection locked="0"/>
    </xf>
    <xf numFmtId="0" fontId="11" fillId="0" borderId="26" xfId="0" applyFont="1" applyBorder="1" applyAlignment="1" applyProtection="1">
      <alignment horizontal="center" vertical="center" wrapText="1"/>
      <protection locked="0"/>
    </xf>
    <xf numFmtId="0" fontId="11" fillId="0" borderId="24" xfId="0" applyFont="1" applyBorder="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0" fillId="4" borderId="28" xfId="0" applyFont="1" applyFill="1" applyBorder="1" applyAlignment="1" applyProtection="1">
      <alignment horizontal="center" vertical="center" wrapText="1"/>
      <protection locked="0"/>
    </xf>
    <xf numFmtId="0" fontId="10" fillId="4" borderId="29" xfId="0" applyFont="1" applyFill="1" applyBorder="1" applyAlignment="1" applyProtection="1">
      <alignment horizontal="center" vertical="center" wrapText="1"/>
      <protection locked="0"/>
    </xf>
    <xf numFmtId="0" fontId="10" fillId="4" borderId="30" xfId="0" applyFont="1" applyFill="1" applyBorder="1" applyAlignment="1" applyProtection="1">
      <alignment horizontal="center" vertical="center" wrapText="1"/>
      <protection locked="0"/>
    </xf>
    <xf numFmtId="0" fontId="1" fillId="4" borderId="6" xfId="0" applyFont="1" applyFill="1" applyBorder="1" applyAlignment="1" applyProtection="1">
      <alignment vertical="top" wrapText="1"/>
      <protection locked="0"/>
    </xf>
    <xf numFmtId="0" fontId="1" fillId="4" borderId="7" xfId="0" applyFont="1" applyFill="1" applyBorder="1" applyAlignment="1" applyProtection="1">
      <alignment vertical="top" wrapText="1"/>
      <protection locked="0"/>
    </xf>
    <xf numFmtId="0" fontId="10" fillId="4" borderId="1" xfId="0" applyFont="1" applyFill="1" applyBorder="1" applyAlignment="1" applyProtection="1">
      <alignment horizontal="center" vertical="center" wrapText="1"/>
      <protection locked="0"/>
    </xf>
    <xf numFmtId="0" fontId="1" fillId="4" borderId="6" xfId="0" applyFont="1" applyFill="1" applyBorder="1" applyAlignment="1" applyProtection="1">
      <alignment horizontal="left" vertical="top" wrapText="1"/>
      <protection locked="0"/>
    </xf>
    <xf numFmtId="0" fontId="1" fillId="4" borderId="9" xfId="0" applyFont="1" applyFill="1" applyBorder="1" applyAlignment="1" applyProtection="1">
      <alignment horizontal="left" vertical="top" wrapText="1"/>
      <protection locked="0"/>
    </xf>
    <xf numFmtId="0" fontId="2" fillId="4" borderId="14" xfId="0" applyFont="1" applyFill="1" applyBorder="1" applyAlignment="1" applyProtection="1">
      <alignment horizontal="left" vertical="top" wrapText="1"/>
      <protection locked="0"/>
    </xf>
    <xf numFmtId="0" fontId="2" fillId="4" borderId="16" xfId="0" applyFont="1" applyFill="1" applyBorder="1" applyAlignment="1" applyProtection="1">
      <alignment horizontal="left" vertical="top" wrapText="1"/>
      <protection locked="0"/>
    </xf>
    <xf numFmtId="0" fontId="17" fillId="3" borderId="13" xfId="2" applyFont="1" applyBorder="1" applyAlignment="1" applyProtection="1">
      <alignment horizontal="center" vertical="center" wrapText="1"/>
      <protection locked="0"/>
    </xf>
    <xf numFmtId="0" fontId="17" fillId="3" borderId="16" xfId="2" applyFont="1" applyBorder="1" applyAlignment="1" applyProtection="1">
      <alignment horizontal="center" vertical="center" wrapText="1"/>
      <protection locked="0"/>
    </xf>
    <xf numFmtId="0" fontId="17" fillId="3" borderId="32" xfId="2" applyFont="1" applyBorder="1" applyAlignment="1" applyProtection="1">
      <alignment horizontal="center" vertical="center" wrapText="1"/>
      <protection locked="0"/>
    </xf>
    <xf numFmtId="0" fontId="1" fillId="4" borderId="14" xfId="0" applyFont="1" applyFill="1" applyBorder="1" applyAlignment="1" applyProtection="1">
      <alignment vertical="top" wrapText="1"/>
      <protection locked="0"/>
    </xf>
    <xf numFmtId="0" fontId="1" fillId="4" borderId="15" xfId="0" applyFont="1" applyFill="1" applyBorder="1" applyAlignment="1" applyProtection="1">
      <alignment vertical="top" wrapText="1"/>
      <protection locked="0"/>
    </xf>
    <xf numFmtId="0" fontId="15" fillId="4" borderId="14" xfId="0" applyFont="1" applyFill="1" applyBorder="1" applyAlignment="1" applyProtection="1">
      <alignment horizontal="left" vertical="top" wrapText="1"/>
      <protection locked="0"/>
    </xf>
    <xf numFmtId="0" fontId="2" fillId="4" borderId="15" xfId="0" applyFont="1" applyFill="1" applyBorder="1" applyAlignment="1" applyProtection="1">
      <alignment horizontal="left" vertical="top" wrapText="1"/>
      <protection locked="0"/>
    </xf>
    <xf numFmtId="0" fontId="2" fillId="4" borderId="8" xfId="0" applyFont="1" applyFill="1" applyBorder="1" applyAlignment="1" applyProtection="1">
      <alignment horizontal="left" vertical="top" wrapText="1"/>
      <protection locked="0"/>
    </xf>
    <xf numFmtId="0" fontId="2" fillId="4" borderId="27" xfId="0" applyFont="1" applyFill="1" applyBorder="1" applyAlignment="1" applyProtection="1">
      <alignment horizontal="left" vertical="top" wrapText="1"/>
      <protection locked="0"/>
    </xf>
    <xf numFmtId="0" fontId="2" fillId="0" borderId="14" xfId="0" applyFont="1" applyBorder="1" applyAlignment="1" applyProtection="1">
      <alignment horizontal="left" vertical="top" wrapText="1"/>
      <protection locked="0"/>
    </xf>
    <xf numFmtId="0" fontId="2" fillId="0" borderId="15" xfId="0" applyFont="1" applyBorder="1" applyAlignment="1" applyProtection="1">
      <alignment horizontal="left" vertical="top" wrapText="1"/>
      <protection locked="0"/>
    </xf>
    <xf numFmtId="0" fontId="2" fillId="0" borderId="16" xfId="0" applyFont="1" applyBorder="1" applyAlignment="1" applyProtection="1">
      <alignment horizontal="left" vertical="top" wrapText="1"/>
      <protection locked="0"/>
    </xf>
    <xf numFmtId="0" fontId="1" fillId="4" borderId="16" xfId="0" applyFont="1" applyFill="1" applyBorder="1" applyAlignment="1" applyProtection="1">
      <alignment vertical="top" wrapText="1"/>
      <protection locked="0"/>
    </xf>
    <xf numFmtId="0" fontId="1" fillId="4" borderId="14" xfId="0" applyFont="1" applyFill="1" applyBorder="1" applyAlignment="1" applyProtection="1">
      <alignment horizontal="left" vertical="top" wrapText="1"/>
      <protection locked="0"/>
    </xf>
    <xf numFmtId="0" fontId="1" fillId="4" borderId="15" xfId="0" applyFont="1" applyFill="1" applyBorder="1" applyAlignment="1" applyProtection="1">
      <alignment horizontal="left" vertical="top" wrapText="1"/>
      <protection locked="0"/>
    </xf>
    <xf numFmtId="0" fontId="2" fillId="4" borderId="7" xfId="0" applyFont="1" applyFill="1" applyBorder="1" applyAlignment="1" applyProtection="1">
      <alignment horizontal="left" vertical="top" wrapText="1"/>
      <protection locked="0"/>
    </xf>
    <xf numFmtId="0" fontId="15" fillId="4" borderId="6" xfId="0" applyFont="1" applyFill="1" applyBorder="1" applyAlignment="1" applyProtection="1">
      <alignment horizontal="left" vertical="top" wrapText="1"/>
      <protection locked="0"/>
    </xf>
    <xf numFmtId="0" fontId="15" fillId="4" borderId="7" xfId="0" applyFont="1" applyFill="1" applyBorder="1" applyAlignment="1" applyProtection="1">
      <alignment horizontal="left" vertical="top" wrapText="1"/>
      <protection locked="0"/>
    </xf>
    <xf numFmtId="0" fontId="1" fillId="4" borderId="0" xfId="0" applyFont="1" applyFill="1" applyAlignment="1" applyProtection="1">
      <alignment horizontal="left" vertical="top" wrapText="1"/>
      <protection locked="0"/>
    </xf>
    <xf numFmtId="0" fontId="1" fillId="4" borderId="19" xfId="0" applyFont="1" applyFill="1" applyBorder="1" applyAlignment="1" applyProtection="1">
      <alignment horizontal="left" vertical="top" wrapText="1"/>
      <protection locked="0"/>
    </xf>
    <xf numFmtId="0" fontId="1" fillId="0" borderId="14" xfId="0" applyFont="1" applyBorder="1" applyAlignment="1" applyProtection="1">
      <alignment horizontal="left" vertical="top" wrapText="1"/>
      <protection locked="0"/>
    </xf>
    <xf numFmtId="0" fontId="1" fillId="0" borderId="16" xfId="0" applyFont="1" applyBorder="1" applyAlignment="1" applyProtection="1">
      <alignment horizontal="left" vertical="top" wrapText="1"/>
      <protection locked="0"/>
    </xf>
    <xf numFmtId="0" fontId="1" fillId="0" borderId="8" xfId="0" applyFont="1" applyBorder="1" applyAlignment="1" applyProtection="1">
      <alignment horizontal="left" vertical="top" wrapText="1"/>
      <protection locked="0"/>
    </xf>
    <xf numFmtId="0" fontId="1" fillId="0" borderId="9" xfId="0" applyFont="1" applyBorder="1" applyAlignment="1" applyProtection="1">
      <alignment horizontal="left" vertical="top" wrapText="1"/>
      <protection locked="0"/>
    </xf>
    <xf numFmtId="0" fontId="1" fillId="0" borderId="6" xfId="0" applyFont="1" applyBorder="1" applyAlignment="1" applyProtection="1">
      <alignment horizontal="left" vertical="top" wrapText="1"/>
      <protection locked="0"/>
    </xf>
    <xf numFmtId="0" fontId="1" fillId="0" borderId="15" xfId="0" applyFont="1" applyBorder="1" applyAlignment="1" applyProtection="1">
      <alignment horizontal="left" vertical="top" wrapText="1"/>
      <protection locked="0"/>
    </xf>
    <xf numFmtId="0" fontId="1" fillId="0" borderId="19" xfId="0" applyFont="1" applyBorder="1" applyAlignment="1" applyProtection="1">
      <alignment horizontal="left" vertical="top" wrapText="1"/>
      <protection locked="0"/>
    </xf>
    <xf numFmtId="0" fontId="1" fillId="0" borderId="27"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8" xfId="0" applyFont="1" applyBorder="1" applyAlignment="1" applyProtection="1">
      <alignment vertical="top" wrapText="1"/>
      <protection locked="0"/>
    </xf>
    <xf numFmtId="0" fontId="1" fillId="0" borderId="9" xfId="0" applyFont="1" applyBorder="1" applyAlignment="1" applyProtection="1">
      <alignment vertical="top" wrapText="1"/>
      <protection locked="0"/>
    </xf>
    <xf numFmtId="0" fontId="1" fillId="4" borderId="8" xfId="0" applyFont="1" applyFill="1" applyBorder="1" applyAlignment="1" applyProtection="1">
      <alignment vertical="top" wrapText="1"/>
      <protection locked="0"/>
    </xf>
    <xf numFmtId="0" fontId="1" fillId="4" borderId="9" xfId="0" applyFont="1" applyFill="1" applyBorder="1" applyAlignment="1" applyProtection="1">
      <alignment vertical="top" wrapText="1"/>
      <protection locked="0"/>
    </xf>
    <xf numFmtId="0" fontId="1" fillId="4" borderId="16" xfId="0" applyFont="1" applyFill="1" applyBorder="1" applyAlignment="1" applyProtection="1">
      <alignment horizontal="left" vertical="top" wrapText="1"/>
      <protection locked="0"/>
    </xf>
    <xf numFmtId="0" fontId="1" fillId="4" borderId="27" xfId="0" applyFont="1" applyFill="1" applyBorder="1" applyAlignment="1" applyProtection="1">
      <alignment vertical="top" wrapText="1"/>
      <protection locked="0"/>
    </xf>
    <xf numFmtId="0" fontId="1" fillId="0" borderId="14" xfId="0" applyFont="1" applyBorder="1" applyAlignment="1" applyProtection="1">
      <alignment vertical="top" wrapText="1"/>
      <protection locked="0"/>
    </xf>
    <xf numFmtId="0" fontId="1" fillId="0" borderId="16" xfId="0" applyFont="1" applyBorder="1" applyAlignment="1" applyProtection="1">
      <alignment vertical="top" wrapText="1"/>
      <protection locked="0"/>
    </xf>
    <xf numFmtId="0" fontId="1" fillId="4" borderId="0" xfId="0" applyFont="1" applyFill="1" applyAlignment="1" applyProtection="1">
      <alignment vertical="top" wrapText="1"/>
      <protection locked="0"/>
    </xf>
    <xf numFmtId="0" fontId="14" fillId="4" borderId="31" xfId="0" applyFont="1" applyFill="1" applyBorder="1" applyAlignment="1" applyProtection="1">
      <alignment horizontal="center" vertical="center" wrapText="1"/>
      <protection locked="0"/>
    </xf>
    <xf numFmtId="0" fontId="14" fillId="4" borderId="29" xfId="0" applyFont="1" applyFill="1" applyBorder="1" applyAlignment="1" applyProtection="1">
      <alignment horizontal="center" vertical="center" wrapText="1"/>
      <protection locked="0"/>
    </xf>
    <xf numFmtId="0" fontId="14" fillId="4" borderId="1" xfId="0" applyFont="1" applyFill="1" applyBorder="1" applyAlignment="1" applyProtection="1">
      <alignment horizontal="center" vertical="center" wrapText="1"/>
      <protection locked="0"/>
    </xf>
    <xf numFmtId="0" fontId="14" fillId="4" borderId="3" xfId="0" applyFont="1" applyFill="1" applyBorder="1" applyAlignment="1" applyProtection="1">
      <alignment horizontal="center" vertical="center" wrapText="1"/>
      <protection locked="0"/>
    </xf>
    <xf numFmtId="0" fontId="1" fillId="4" borderId="7" xfId="0" applyFont="1" applyFill="1" applyBorder="1" applyAlignment="1" applyProtection="1">
      <alignment horizontal="left" vertical="top" wrapText="1"/>
      <protection locked="0"/>
    </xf>
    <xf numFmtId="0" fontId="1" fillId="4" borderId="27" xfId="0" applyFont="1" applyFill="1" applyBorder="1" applyAlignment="1" applyProtection="1">
      <alignment horizontal="left" vertical="top" wrapText="1"/>
      <protection locked="0"/>
    </xf>
  </cellXfs>
  <cellStyles count="7">
    <cellStyle name="Accent1" xfId="2" builtinId="29"/>
    <cellStyle name="Calculation" xfId="1" builtinId="22" customBuiltin="1"/>
    <cellStyle name="Explanatory Text" xfId="5" builtinId="53"/>
    <cellStyle name="Heading 1" xfId="3" builtinId="16"/>
    <cellStyle name="Hyperlink" xfId="6" builtinId="8"/>
    <cellStyle name="Normal" xfId="0" builtinId="0"/>
    <cellStyle name="Warning Text" xfId="4" builtinId="11"/>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at-ddo-drm-diagnostic-dashboard.onrend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sheetPr>
    <tabColor theme="7" tint="0.79998168889431442"/>
  </sheetPr>
  <dimension ref="B2:AU50"/>
  <sheetViews>
    <sheetView showGridLines="0" topLeftCell="C5" zoomScale="70" zoomScaleNormal="70" workbookViewId="0">
      <selection activeCell="H11" sqref="H11"/>
    </sheetView>
  </sheetViews>
  <sheetFormatPr defaultRowHeight="18" x14ac:dyDescent="0.35"/>
  <cols>
    <col min="1" max="1" width="3.6640625" customWidth="1"/>
    <col min="2" max="2" width="22.5546875" style="5" customWidth="1"/>
    <col min="3" max="3" width="21.109375" style="6" customWidth="1"/>
    <col min="4" max="4" width="41.5546875" customWidth="1"/>
    <col min="5" max="5" width="9.5546875" style="7" customWidth="1"/>
    <col min="6" max="6" width="54.5546875" customWidth="1"/>
    <col min="7" max="7" width="9.5546875" style="7" customWidth="1"/>
    <col min="8" max="8" width="65" customWidth="1"/>
    <col min="9" max="9" width="9.5546875" style="7" customWidth="1"/>
    <col min="10" max="10" width="55.5546875" customWidth="1"/>
    <col min="11" max="11" width="9.5546875" style="7" customWidth="1"/>
    <col min="12" max="12" width="38.88671875" customWidth="1"/>
    <col min="13" max="14" width="36.5546875" bestFit="1" customWidth="1"/>
    <col min="15" max="47" width="9.109375"/>
  </cols>
  <sheetData>
    <row r="2" spans="2:47" ht="24" thickBot="1" x14ac:dyDescent="0.5">
      <c r="B2" s="16" t="s">
        <v>82</v>
      </c>
    </row>
    <row r="3" spans="2:47" ht="18.600000000000001" thickTop="1" x14ac:dyDescent="0.35"/>
    <row r="4" spans="2:47" x14ac:dyDescent="0.35">
      <c r="B4" s="18" t="s">
        <v>80</v>
      </c>
    </row>
    <row r="5" spans="2:47" x14ac:dyDescent="0.35">
      <c r="B5" s="5" t="s">
        <v>84</v>
      </c>
    </row>
    <row r="6" spans="2:47" ht="36.6" customHeight="1" x14ac:dyDescent="0.35">
      <c r="B6" s="78" t="s">
        <v>85</v>
      </c>
      <c r="C6" s="78"/>
      <c r="D6" s="78"/>
      <c r="E6" s="79" t="s">
        <v>81</v>
      </c>
      <c r="F6" s="79"/>
    </row>
    <row r="7" spans="2:47" x14ac:dyDescent="0.35">
      <c r="B7" s="5" t="s">
        <v>86</v>
      </c>
      <c r="E7" s="19" t="str">
        <f>_xlfn.TEXTJOIN(";",FALSE,'Summary (to be hidden)'!I2:I14)</f>
        <v>DRM Pillar,Thematic Area,Legal and institutional set up,Intermediary DRM outputs,Key DRM achievements,Policy enablers;Legal and Institutional DRM Framework,DRM policies and institutions,1,1,1,0;Legal and Institutional DRM Framework,Mainstreaming DRM into national and sectoral development plans,0,0,1,1;Risk Identification,Risk identification,0,0.5,0,1;Risk Reduction,Territorial and urban planning,1,1,1,1;Risk Reduction,Public investment at the central level,0,0,0,0;Risk Reduction,Sector-specific risk reduction measures,0.8,0.5,1,1;Preparedness,Early warning systems,1,0,1,1;Preparedness,Emergency preparedness and response,0,0,1,1;Preparedness,Adaptive social protection,0,0,0,0;Financial Protection,Fiscal risk management,0,0,0,0;Financial Protection,DRF strategies and instruments,0,0,0,0;Resilient Reconstruction,Resilient reconstruction,0,0,0,0</v>
      </c>
    </row>
    <row r="9" spans="2:47" x14ac:dyDescent="0.35">
      <c r="B9" s="5" t="s">
        <v>83</v>
      </c>
      <c r="E9" s="15">
        <f>64-(COUNTIF('Diagnostic Questions'!D12:K50,"YES")+COUNTIF('Diagnostic Questions'!D12:K50,"NO"))</f>
        <v>20</v>
      </c>
    </row>
    <row r="10" spans="2:47" ht="15.6" x14ac:dyDescent="0.3">
      <c r="B10" s="17" t="s">
        <v>67</v>
      </c>
    </row>
    <row r="11" spans="2:47" ht="18.600000000000001" thickBot="1" x14ac:dyDescent="0.4"/>
    <row r="12" spans="2:47" ht="40.5" customHeight="1" thickBot="1" x14ac:dyDescent="0.35">
      <c r="B12" s="21" t="s">
        <v>0</v>
      </c>
      <c r="C12" s="22" t="s">
        <v>87</v>
      </c>
      <c r="D12" s="102" t="s">
        <v>1</v>
      </c>
      <c r="E12" s="104"/>
      <c r="F12" s="102" t="s">
        <v>59</v>
      </c>
      <c r="G12" s="104"/>
      <c r="H12" s="102" t="s">
        <v>2</v>
      </c>
      <c r="I12" s="104"/>
      <c r="J12" s="102" t="s">
        <v>3</v>
      </c>
      <c r="K12" s="103"/>
      <c r="L12" s="9"/>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row>
    <row r="13" spans="2:47" s="1" customFormat="1" ht="87" customHeight="1" x14ac:dyDescent="0.3">
      <c r="B13" s="73" t="s">
        <v>4</v>
      </c>
      <c r="C13" s="140" t="s">
        <v>5</v>
      </c>
      <c r="D13" s="105" t="s">
        <v>96</v>
      </c>
      <c r="E13" s="106"/>
      <c r="F13" s="105" t="s">
        <v>6</v>
      </c>
      <c r="G13" s="106"/>
      <c r="H13" s="107" t="s">
        <v>104</v>
      </c>
      <c r="I13" s="108"/>
      <c r="J13" s="100" t="s">
        <v>97</v>
      </c>
      <c r="K13" s="101"/>
      <c r="L13" s="8"/>
    </row>
    <row r="14" spans="2:47" s="1" customFormat="1" ht="18" customHeight="1" x14ac:dyDescent="0.3">
      <c r="B14" s="74"/>
      <c r="C14" s="141"/>
      <c r="D14" s="23" t="s">
        <v>7</v>
      </c>
      <c r="E14" s="24" t="s">
        <v>88</v>
      </c>
      <c r="F14" s="25" t="s">
        <v>7</v>
      </c>
      <c r="G14" s="26" t="s">
        <v>88</v>
      </c>
      <c r="H14" s="25" t="s">
        <v>60</v>
      </c>
      <c r="I14" s="26" t="s">
        <v>88</v>
      </c>
      <c r="J14" s="25" t="s">
        <v>60</v>
      </c>
      <c r="K14" s="27" t="s">
        <v>95</v>
      </c>
      <c r="L14" s="8"/>
    </row>
    <row r="15" spans="2:47" s="1" customFormat="1" ht="18" customHeight="1" x14ac:dyDescent="0.3">
      <c r="B15" s="74"/>
      <c r="C15" s="142"/>
      <c r="D15" s="28"/>
      <c r="E15" s="29"/>
      <c r="F15" s="28"/>
      <c r="G15" s="29"/>
      <c r="H15" s="30"/>
      <c r="I15" s="29"/>
      <c r="J15" s="25" t="s">
        <v>61</v>
      </c>
      <c r="K15" s="27" t="s">
        <v>95</v>
      </c>
      <c r="L15" s="8"/>
    </row>
    <row r="16" spans="2:47" s="1" customFormat="1" ht="18" customHeight="1" x14ac:dyDescent="0.3">
      <c r="B16" s="74"/>
      <c r="C16" s="142"/>
      <c r="D16" s="28"/>
      <c r="E16" s="29"/>
      <c r="F16" s="28"/>
      <c r="G16" s="29"/>
      <c r="H16" s="31" t="s">
        <v>61</v>
      </c>
      <c r="I16" s="26" t="s">
        <v>88</v>
      </c>
      <c r="J16" s="32" t="s">
        <v>62</v>
      </c>
      <c r="K16" s="33" t="s">
        <v>95</v>
      </c>
      <c r="L16" s="8"/>
    </row>
    <row r="17" spans="2:14" s="1" customFormat="1" ht="18" customHeight="1" x14ac:dyDescent="0.3">
      <c r="B17" s="74"/>
      <c r="C17" s="143"/>
      <c r="D17" s="34"/>
      <c r="E17" s="29"/>
      <c r="F17" s="34"/>
      <c r="G17" s="29"/>
      <c r="H17" s="35"/>
      <c r="I17" s="29"/>
      <c r="J17" s="35"/>
      <c r="K17" s="36"/>
      <c r="L17" s="8"/>
    </row>
    <row r="18" spans="2:14" ht="85.2" customHeight="1" x14ac:dyDescent="0.3">
      <c r="B18" s="74"/>
      <c r="C18" s="76" t="s">
        <v>8</v>
      </c>
      <c r="D18" s="109" t="s">
        <v>9</v>
      </c>
      <c r="E18" s="117"/>
      <c r="F18" s="118" t="s">
        <v>105</v>
      </c>
      <c r="G18" s="117"/>
      <c r="H18" s="118" t="s">
        <v>66</v>
      </c>
      <c r="I18" s="119"/>
      <c r="J18" s="109" t="s">
        <v>10</v>
      </c>
      <c r="K18" s="110"/>
      <c r="L18" s="10"/>
      <c r="N18" s="3"/>
    </row>
    <row r="19" spans="2:14" ht="18" customHeight="1" thickBot="1" x14ac:dyDescent="0.35">
      <c r="B19" s="75"/>
      <c r="C19" s="77"/>
      <c r="D19" s="37" t="s">
        <v>7</v>
      </c>
      <c r="E19" s="38" t="s">
        <v>95</v>
      </c>
      <c r="F19" s="37" t="s">
        <v>7</v>
      </c>
      <c r="G19" s="38" t="s">
        <v>95</v>
      </c>
      <c r="H19" s="37" t="s">
        <v>7</v>
      </c>
      <c r="I19" s="38" t="s">
        <v>88</v>
      </c>
      <c r="J19" s="37" t="s">
        <v>7</v>
      </c>
      <c r="K19" s="39" t="s">
        <v>88</v>
      </c>
      <c r="L19" s="11"/>
      <c r="N19" s="3"/>
    </row>
    <row r="20" spans="2:14" ht="74.25" customHeight="1" x14ac:dyDescent="0.3">
      <c r="B20" s="80" t="s">
        <v>11</v>
      </c>
      <c r="C20" s="83" t="s">
        <v>12</v>
      </c>
      <c r="D20" s="111" t="s">
        <v>109</v>
      </c>
      <c r="E20" s="112"/>
      <c r="F20" s="111" t="s">
        <v>13</v>
      </c>
      <c r="G20" s="112"/>
      <c r="H20" s="111" t="s">
        <v>56</v>
      </c>
      <c r="I20" s="112"/>
      <c r="J20" s="111" t="s">
        <v>14</v>
      </c>
      <c r="K20" s="113"/>
      <c r="L20" s="8"/>
    </row>
    <row r="21" spans="2:14" ht="18" customHeight="1" x14ac:dyDescent="0.3">
      <c r="B21" s="82"/>
      <c r="C21" s="91"/>
      <c r="D21" s="40" t="s">
        <v>7</v>
      </c>
      <c r="E21" s="26" t="s">
        <v>95</v>
      </c>
      <c r="F21" s="41" t="s">
        <v>60</v>
      </c>
      <c r="G21" s="26" t="s">
        <v>95</v>
      </c>
      <c r="H21" s="42" t="s">
        <v>7</v>
      </c>
      <c r="I21" s="26" t="s">
        <v>95</v>
      </c>
      <c r="J21" s="40" t="s">
        <v>7</v>
      </c>
      <c r="K21" s="27" t="s">
        <v>88</v>
      </c>
      <c r="L21" s="8"/>
    </row>
    <row r="22" spans="2:14" ht="18" customHeight="1" thickBot="1" x14ac:dyDescent="0.35">
      <c r="B22" s="81"/>
      <c r="C22" s="86"/>
      <c r="D22" s="43"/>
      <c r="E22" s="44"/>
      <c r="F22" s="45" t="s">
        <v>61</v>
      </c>
      <c r="G22" s="38" t="s">
        <v>88</v>
      </c>
      <c r="H22" s="46"/>
      <c r="I22" s="44"/>
      <c r="J22" s="46"/>
      <c r="K22" s="47"/>
      <c r="L22" s="8"/>
    </row>
    <row r="23" spans="2:14" ht="74.25" customHeight="1" x14ac:dyDescent="0.3">
      <c r="B23" s="73" t="s">
        <v>15</v>
      </c>
      <c r="C23" s="87" t="s">
        <v>16</v>
      </c>
      <c r="D23" s="115" t="s">
        <v>98</v>
      </c>
      <c r="E23" s="116"/>
      <c r="F23" s="115" t="s">
        <v>17</v>
      </c>
      <c r="G23" s="116"/>
      <c r="H23" s="115" t="s">
        <v>18</v>
      </c>
      <c r="I23" s="116"/>
      <c r="J23" s="105" t="s">
        <v>19</v>
      </c>
      <c r="K23" s="114"/>
      <c r="L23" s="8"/>
    </row>
    <row r="24" spans="2:14" ht="18" customHeight="1" x14ac:dyDescent="0.3">
      <c r="B24" s="74"/>
      <c r="C24" s="97"/>
      <c r="D24" s="25" t="s">
        <v>7</v>
      </c>
      <c r="E24" s="26" t="s">
        <v>88</v>
      </c>
      <c r="F24" s="25" t="s">
        <v>7</v>
      </c>
      <c r="G24" s="26" t="s">
        <v>88</v>
      </c>
      <c r="H24" s="25" t="s">
        <v>7</v>
      </c>
      <c r="I24" s="26" t="s">
        <v>88</v>
      </c>
      <c r="J24" s="31" t="s">
        <v>65</v>
      </c>
      <c r="K24" s="27" t="s">
        <v>88</v>
      </c>
      <c r="L24" s="8"/>
    </row>
    <row r="25" spans="2:14" ht="18" customHeight="1" x14ac:dyDescent="0.3">
      <c r="B25" s="74"/>
      <c r="C25" s="88"/>
      <c r="D25" s="34"/>
      <c r="E25" s="29"/>
      <c r="F25" s="34"/>
      <c r="G25" s="29"/>
      <c r="H25" s="34"/>
      <c r="I25" s="29"/>
      <c r="J25" s="48" t="s">
        <v>61</v>
      </c>
      <c r="K25" s="49" t="s">
        <v>88</v>
      </c>
      <c r="L25" s="8"/>
    </row>
    <row r="26" spans="2:14" ht="88.5" customHeight="1" x14ac:dyDescent="0.3">
      <c r="B26" s="74"/>
      <c r="C26" s="76" t="s">
        <v>20</v>
      </c>
      <c r="D26" s="95" t="s">
        <v>21</v>
      </c>
      <c r="E26" s="96"/>
      <c r="F26" s="95" t="s">
        <v>99</v>
      </c>
      <c r="G26" s="96"/>
      <c r="H26" s="95" t="s">
        <v>22</v>
      </c>
      <c r="I26" s="96"/>
      <c r="J26" s="98" t="s">
        <v>23</v>
      </c>
      <c r="K26" s="145"/>
      <c r="L26" s="8"/>
    </row>
    <row r="27" spans="2:14" ht="18" customHeight="1" x14ac:dyDescent="0.3">
      <c r="B27" s="74"/>
      <c r="C27" s="97"/>
      <c r="D27" s="25" t="s">
        <v>7</v>
      </c>
      <c r="E27" s="26" t="s">
        <v>95</v>
      </c>
      <c r="F27" s="25" t="s">
        <v>7</v>
      </c>
      <c r="G27" s="26" t="s">
        <v>95</v>
      </c>
      <c r="H27" s="25" t="s">
        <v>7</v>
      </c>
      <c r="I27" s="26"/>
      <c r="J27" s="31" t="s">
        <v>60</v>
      </c>
      <c r="K27" s="27"/>
      <c r="L27" s="8"/>
    </row>
    <row r="28" spans="2:14" ht="18" customHeight="1" x14ac:dyDescent="0.3">
      <c r="B28" s="74"/>
      <c r="C28" s="88"/>
      <c r="D28" s="34"/>
      <c r="E28" s="29"/>
      <c r="F28" s="34"/>
      <c r="G28" s="50"/>
      <c r="H28" s="34"/>
      <c r="I28" s="29"/>
      <c r="J28" s="48" t="s">
        <v>61</v>
      </c>
      <c r="K28" s="49"/>
      <c r="L28" s="8"/>
    </row>
    <row r="29" spans="2:14" ht="103.2" customHeight="1" x14ac:dyDescent="0.3">
      <c r="B29" s="74"/>
      <c r="C29" s="76" t="s">
        <v>24</v>
      </c>
      <c r="D29" s="98" t="s">
        <v>25</v>
      </c>
      <c r="E29" s="144"/>
      <c r="F29" s="120" t="s">
        <v>26</v>
      </c>
      <c r="G29" s="120"/>
      <c r="H29" s="98" t="s">
        <v>57</v>
      </c>
      <c r="I29" s="144"/>
      <c r="J29" s="98" t="s">
        <v>27</v>
      </c>
      <c r="K29" s="145"/>
      <c r="L29" s="8"/>
      <c r="M29" s="4"/>
    </row>
    <row r="30" spans="2:14" ht="18" customHeight="1" x14ac:dyDescent="0.3">
      <c r="B30" s="74"/>
      <c r="C30" s="97"/>
      <c r="D30" s="31" t="s">
        <v>60</v>
      </c>
      <c r="E30" s="26" t="s">
        <v>88</v>
      </c>
      <c r="F30" s="29" t="s">
        <v>7</v>
      </c>
      <c r="G30" s="26" t="s">
        <v>88</v>
      </c>
      <c r="H30" s="23" t="s">
        <v>7</v>
      </c>
      <c r="I30" s="26" t="s">
        <v>88</v>
      </c>
      <c r="J30" s="25" t="s">
        <v>7</v>
      </c>
      <c r="K30" s="27" t="s">
        <v>88</v>
      </c>
      <c r="L30" s="8"/>
      <c r="M30" s="4"/>
    </row>
    <row r="31" spans="2:14" ht="18" customHeight="1" x14ac:dyDescent="0.3">
      <c r="B31" s="74"/>
      <c r="C31" s="97"/>
      <c r="D31" s="31" t="s">
        <v>61</v>
      </c>
      <c r="E31" s="26" t="s">
        <v>88</v>
      </c>
      <c r="F31" s="51"/>
      <c r="G31" s="29"/>
      <c r="H31" s="52"/>
      <c r="I31" s="29"/>
      <c r="J31" s="28"/>
      <c r="K31" s="53"/>
      <c r="L31" s="8"/>
      <c r="M31" s="4"/>
    </row>
    <row r="32" spans="2:14" ht="18" customHeight="1" x14ac:dyDescent="0.3">
      <c r="B32" s="74"/>
      <c r="C32" s="97"/>
      <c r="D32" s="31" t="s">
        <v>63</v>
      </c>
      <c r="E32" s="26" t="s">
        <v>95</v>
      </c>
      <c r="F32" s="51"/>
      <c r="G32" s="29"/>
      <c r="H32" s="52"/>
      <c r="I32" s="29"/>
      <c r="J32" s="28"/>
      <c r="K32" s="53"/>
      <c r="L32" s="8"/>
      <c r="M32" s="4"/>
    </row>
    <row r="33" spans="2:13" ht="18" customHeight="1" x14ac:dyDescent="0.3">
      <c r="B33" s="74"/>
      <c r="C33" s="97"/>
      <c r="D33" s="48" t="s">
        <v>64</v>
      </c>
      <c r="E33" s="54" t="s">
        <v>88</v>
      </c>
      <c r="F33" s="51"/>
      <c r="G33" s="29"/>
      <c r="H33" s="55"/>
      <c r="I33" s="50"/>
      <c r="J33" s="34"/>
      <c r="K33" s="53"/>
      <c r="L33" s="8"/>
      <c r="M33" s="4"/>
    </row>
    <row r="34" spans="2:13" ht="64.5" customHeight="1" x14ac:dyDescent="0.3">
      <c r="B34" s="74"/>
      <c r="C34" s="97"/>
      <c r="D34" s="98" t="s">
        <v>110</v>
      </c>
      <c r="E34" s="99"/>
      <c r="F34" s="98" t="s">
        <v>100</v>
      </c>
      <c r="G34" s="144"/>
      <c r="H34" s="120" t="s">
        <v>28</v>
      </c>
      <c r="I34" s="120"/>
      <c r="J34" s="98" t="s">
        <v>29</v>
      </c>
      <c r="K34" s="121"/>
      <c r="L34" s="8"/>
    </row>
    <row r="35" spans="2:13" ht="18" customHeight="1" x14ac:dyDescent="0.3">
      <c r="B35" s="74"/>
      <c r="C35" s="97"/>
      <c r="D35" s="25" t="s">
        <v>7</v>
      </c>
      <c r="E35" s="26" t="s">
        <v>88</v>
      </c>
      <c r="F35" s="25" t="s">
        <v>7</v>
      </c>
      <c r="G35" s="26" t="s">
        <v>95</v>
      </c>
      <c r="H35" s="56" t="s">
        <v>60</v>
      </c>
      <c r="I35" s="26" t="s">
        <v>88</v>
      </c>
      <c r="J35" s="57" t="s">
        <v>7</v>
      </c>
      <c r="K35" s="27" t="s">
        <v>88</v>
      </c>
      <c r="L35" s="8"/>
    </row>
    <row r="36" spans="2:13" ht="18" customHeight="1" thickBot="1" x14ac:dyDescent="0.35">
      <c r="B36" s="75"/>
      <c r="C36" s="77"/>
      <c r="D36" s="58"/>
      <c r="E36" s="59"/>
      <c r="F36" s="58"/>
      <c r="G36" s="60"/>
      <c r="H36" s="61" t="s">
        <v>61</v>
      </c>
      <c r="I36" s="38" t="s">
        <v>88</v>
      </c>
      <c r="J36" s="58"/>
      <c r="K36" s="62"/>
      <c r="L36" s="8"/>
    </row>
    <row r="37" spans="2:13" ht="74.25" customHeight="1" x14ac:dyDescent="0.3">
      <c r="B37" s="80" t="s">
        <v>30</v>
      </c>
      <c r="C37" s="83" t="s">
        <v>31</v>
      </c>
      <c r="D37" s="122" t="s">
        <v>58</v>
      </c>
      <c r="E37" s="127"/>
      <c r="F37" s="122" t="s">
        <v>32</v>
      </c>
      <c r="G37" s="127"/>
      <c r="H37" s="122" t="s">
        <v>33</v>
      </c>
      <c r="I37" s="127"/>
      <c r="J37" s="122" t="s">
        <v>34</v>
      </c>
      <c r="K37" s="123"/>
      <c r="L37" s="12"/>
    </row>
    <row r="38" spans="2:13" ht="19.95" customHeight="1" thickBot="1" x14ac:dyDescent="0.35">
      <c r="B38" s="82"/>
      <c r="C38" s="84"/>
      <c r="D38" s="63" t="s">
        <v>7</v>
      </c>
      <c r="E38" s="54" t="s">
        <v>88</v>
      </c>
      <c r="F38" s="63" t="s">
        <v>7</v>
      </c>
      <c r="G38" s="54" t="s">
        <v>95</v>
      </c>
      <c r="H38" s="63" t="s">
        <v>7</v>
      </c>
      <c r="I38" s="54" t="s">
        <v>88</v>
      </c>
      <c r="J38" s="63" t="s">
        <v>7</v>
      </c>
      <c r="K38" s="39" t="s">
        <v>88</v>
      </c>
      <c r="L38" s="12"/>
    </row>
    <row r="39" spans="2:13" ht="63" customHeight="1" x14ac:dyDescent="0.3">
      <c r="B39" s="82"/>
      <c r="C39" s="85" t="s">
        <v>35</v>
      </c>
      <c r="D39" s="126" t="s">
        <v>36</v>
      </c>
      <c r="E39" s="125"/>
      <c r="F39" s="124" t="s">
        <v>37</v>
      </c>
      <c r="G39" s="125"/>
      <c r="H39" s="131" t="s">
        <v>101</v>
      </c>
      <c r="I39" s="132"/>
      <c r="J39" s="126" t="s">
        <v>38</v>
      </c>
      <c r="K39" s="128"/>
      <c r="L39" s="1"/>
      <c r="M39" s="4"/>
    </row>
    <row r="40" spans="2:13" ht="18" customHeight="1" x14ac:dyDescent="0.3">
      <c r="B40" s="82"/>
      <c r="C40" s="91"/>
      <c r="D40" s="64" t="s">
        <v>7</v>
      </c>
      <c r="E40" s="26" t="s">
        <v>95</v>
      </c>
      <c r="F40" s="64" t="s">
        <v>7</v>
      </c>
      <c r="G40" s="26" t="s">
        <v>95</v>
      </c>
      <c r="H40" s="64" t="s">
        <v>65</v>
      </c>
      <c r="I40" s="26" t="s">
        <v>88</v>
      </c>
      <c r="J40" s="65" t="s">
        <v>7</v>
      </c>
      <c r="K40" s="27" t="s">
        <v>88</v>
      </c>
      <c r="L40" s="1"/>
      <c r="M40" s="4"/>
    </row>
    <row r="41" spans="2:13" ht="18" customHeight="1" x14ac:dyDescent="0.3">
      <c r="B41" s="82"/>
      <c r="C41" s="84"/>
      <c r="D41" s="66"/>
      <c r="E41" s="67"/>
      <c r="F41" s="66"/>
      <c r="G41" s="67"/>
      <c r="H41" s="63" t="s">
        <v>61</v>
      </c>
      <c r="I41" s="54" t="s">
        <v>88</v>
      </c>
      <c r="J41" s="66"/>
      <c r="K41" s="68"/>
      <c r="L41" s="1"/>
      <c r="M41" s="4"/>
    </row>
    <row r="42" spans="2:13" ht="58.5" customHeight="1" x14ac:dyDescent="0.3">
      <c r="B42" s="82"/>
      <c r="C42" s="85" t="s">
        <v>39</v>
      </c>
      <c r="D42" s="124" t="s">
        <v>40</v>
      </c>
      <c r="E42" s="125"/>
      <c r="F42" s="124" t="s">
        <v>41</v>
      </c>
      <c r="G42" s="125"/>
      <c r="H42" s="130" t="s">
        <v>102</v>
      </c>
      <c r="I42" s="130"/>
      <c r="J42" s="124" t="s">
        <v>42</v>
      </c>
      <c r="K42" s="129"/>
      <c r="L42" s="8"/>
    </row>
    <row r="43" spans="2:13" ht="18" customHeight="1" thickBot="1" x14ac:dyDescent="0.35">
      <c r="B43" s="81"/>
      <c r="C43" s="86"/>
      <c r="D43" s="69" t="s">
        <v>7</v>
      </c>
      <c r="E43" s="38"/>
      <c r="F43" s="69" t="s">
        <v>7</v>
      </c>
      <c r="G43" s="38"/>
      <c r="H43" s="70" t="s">
        <v>7</v>
      </c>
      <c r="I43" s="38"/>
      <c r="J43" s="69" t="s">
        <v>7</v>
      </c>
      <c r="K43" s="39"/>
      <c r="L43" s="8"/>
    </row>
    <row r="44" spans="2:13" ht="66" customHeight="1" x14ac:dyDescent="0.3">
      <c r="B44" s="73" t="s">
        <v>43</v>
      </c>
      <c r="C44" s="87" t="s">
        <v>44</v>
      </c>
      <c r="D44" s="115" t="s">
        <v>45</v>
      </c>
      <c r="E44" s="116"/>
      <c r="F44" s="115" t="s">
        <v>46</v>
      </c>
      <c r="G44" s="116"/>
      <c r="H44" s="115" t="s">
        <v>106</v>
      </c>
      <c r="I44" s="116"/>
      <c r="J44" s="115" t="s">
        <v>47</v>
      </c>
      <c r="K44" s="135"/>
      <c r="L44" s="1"/>
    </row>
    <row r="45" spans="2:13" ht="18" customHeight="1" x14ac:dyDescent="0.3">
      <c r="B45" s="74"/>
      <c r="C45" s="88"/>
      <c r="D45" s="48" t="s">
        <v>7</v>
      </c>
      <c r="E45" s="54"/>
      <c r="F45" s="48" t="s">
        <v>7</v>
      </c>
      <c r="G45" s="54"/>
      <c r="H45" s="48" t="s">
        <v>7</v>
      </c>
      <c r="I45" s="54"/>
      <c r="J45" s="48" t="s">
        <v>7</v>
      </c>
      <c r="K45" s="49"/>
      <c r="L45" s="1"/>
    </row>
    <row r="46" spans="2:13" ht="74.400000000000006" customHeight="1" x14ac:dyDescent="0.3">
      <c r="B46" s="74"/>
      <c r="C46" s="92" t="s">
        <v>48</v>
      </c>
      <c r="D46" s="95" t="s">
        <v>108</v>
      </c>
      <c r="E46" s="139"/>
      <c r="F46" s="133" t="s">
        <v>49</v>
      </c>
      <c r="G46" s="134"/>
      <c r="H46" s="139" t="s">
        <v>107</v>
      </c>
      <c r="I46" s="139"/>
      <c r="J46" s="133" t="s">
        <v>50</v>
      </c>
      <c r="K46" s="136"/>
      <c r="L46" s="1"/>
    </row>
    <row r="47" spans="2:13" ht="18" customHeight="1" x14ac:dyDescent="0.3">
      <c r="B47" s="74"/>
      <c r="C47" s="93"/>
      <c r="D47" s="25" t="s">
        <v>7</v>
      </c>
      <c r="E47" s="26"/>
      <c r="F47" s="31" t="s">
        <v>60</v>
      </c>
      <c r="G47" s="26"/>
      <c r="H47" s="57" t="s">
        <v>7</v>
      </c>
      <c r="I47" s="26"/>
      <c r="J47" s="25" t="s">
        <v>7</v>
      </c>
      <c r="K47" s="27"/>
      <c r="L47" s="1"/>
    </row>
    <row r="48" spans="2:13" ht="18" customHeight="1" thickBot="1" x14ac:dyDescent="0.35">
      <c r="B48" s="75"/>
      <c r="C48" s="94"/>
      <c r="D48" s="58"/>
      <c r="E48" s="59"/>
      <c r="F48" s="71" t="s">
        <v>61</v>
      </c>
      <c r="G48" s="38"/>
      <c r="H48" s="72"/>
      <c r="I48" s="59"/>
      <c r="J48" s="58"/>
      <c r="K48" s="62"/>
      <c r="L48" s="1"/>
    </row>
    <row r="49" spans="2:12" ht="64.5" customHeight="1" x14ac:dyDescent="0.3">
      <c r="B49" s="80" t="s">
        <v>51</v>
      </c>
      <c r="C49" s="89" t="s">
        <v>12</v>
      </c>
      <c r="D49" s="122" t="s">
        <v>52</v>
      </c>
      <c r="E49" s="127"/>
      <c r="F49" s="122" t="s">
        <v>53</v>
      </c>
      <c r="G49" s="127"/>
      <c r="H49" s="122" t="s">
        <v>54</v>
      </c>
      <c r="I49" s="127"/>
      <c r="J49" s="137" t="s">
        <v>55</v>
      </c>
      <c r="K49" s="138"/>
      <c r="L49" s="1"/>
    </row>
    <row r="50" spans="2:12" ht="18" customHeight="1" thickBot="1" x14ac:dyDescent="0.35">
      <c r="B50" s="81"/>
      <c r="C50" s="90"/>
      <c r="D50" s="43" t="s">
        <v>7</v>
      </c>
      <c r="E50" s="38"/>
      <c r="F50" s="43" t="s">
        <v>7</v>
      </c>
      <c r="G50" s="38"/>
      <c r="H50" s="43" t="s">
        <v>7</v>
      </c>
      <c r="I50" s="38"/>
      <c r="J50" s="43" t="s">
        <v>7</v>
      </c>
      <c r="K50" s="39"/>
      <c r="L50" s="1"/>
    </row>
  </sheetData>
  <sheetProtection algorithmName="SHA-512" hashValue="qHxMlw49t7cqo6EtZn1JiBEwhCFMVlVf09HtocEiB3234myTQ3Iz4EJJRZvPPi8M/sZ/XjG+4AZMQVCjHtmYJw==" saltValue="ptowAI5jvPGgMLBWmqqr8w==" spinCount="100000" sheet="1" objects="1" scenarios="1"/>
  <mergeCells count="76">
    <mergeCell ref="B44:B48"/>
    <mergeCell ref="C13:C17"/>
    <mergeCell ref="D29:E29"/>
    <mergeCell ref="J26:K26"/>
    <mergeCell ref="J29:K29"/>
    <mergeCell ref="H37:I37"/>
    <mergeCell ref="B23:B36"/>
    <mergeCell ref="C29:C36"/>
    <mergeCell ref="F26:G26"/>
    <mergeCell ref="F29:G29"/>
    <mergeCell ref="H29:I29"/>
    <mergeCell ref="H26:I26"/>
    <mergeCell ref="H23:I23"/>
    <mergeCell ref="D44:E44"/>
    <mergeCell ref="D46:E46"/>
    <mergeCell ref="F34:G34"/>
    <mergeCell ref="D49:E49"/>
    <mergeCell ref="F49:G49"/>
    <mergeCell ref="F46:G46"/>
    <mergeCell ref="F44:G44"/>
    <mergeCell ref="J44:K44"/>
    <mergeCell ref="J46:K46"/>
    <mergeCell ref="J49:K49"/>
    <mergeCell ref="H49:I49"/>
    <mergeCell ref="H46:I46"/>
    <mergeCell ref="H44:I44"/>
    <mergeCell ref="H34:I34"/>
    <mergeCell ref="J34:K34"/>
    <mergeCell ref="J37:K37"/>
    <mergeCell ref="D42:E42"/>
    <mergeCell ref="D39:E39"/>
    <mergeCell ref="D37:E37"/>
    <mergeCell ref="F37:G37"/>
    <mergeCell ref="J39:K39"/>
    <mergeCell ref="J42:K42"/>
    <mergeCell ref="H42:I42"/>
    <mergeCell ref="H39:I39"/>
    <mergeCell ref="F39:G39"/>
    <mergeCell ref="F42:G42"/>
    <mergeCell ref="J18:K18"/>
    <mergeCell ref="C23:C25"/>
    <mergeCell ref="H20:I20"/>
    <mergeCell ref="J20:K20"/>
    <mergeCell ref="J23:K23"/>
    <mergeCell ref="F20:G20"/>
    <mergeCell ref="F23:G23"/>
    <mergeCell ref="D18:E18"/>
    <mergeCell ref="F18:G18"/>
    <mergeCell ref="H18:I18"/>
    <mergeCell ref="C20:C22"/>
    <mergeCell ref="D23:E23"/>
    <mergeCell ref="D20:E20"/>
    <mergeCell ref="J13:K13"/>
    <mergeCell ref="J12:K12"/>
    <mergeCell ref="D12:E12"/>
    <mergeCell ref="D13:E13"/>
    <mergeCell ref="F12:G12"/>
    <mergeCell ref="F13:G13"/>
    <mergeCell ref="H12:I12"/>
    <mergeCell ref="H13:I13"/>
    <mergeCell ref="B13:B19"/>
    <mergeCell ref="C18:C19"/>
    <mergeCell ref="B6:D6"/>
    <mergeCell ref="E6:F6"/>
    <mergeCell ref="B49:B50"/>
    <mergeCell ref="B37:B43"/>
    <mergeCell ref="C37:C38"/>
    <mergeCell ref="C42:C43"/>
    <mergeCell ref="C44:C45"/>
    <mergeCell ref="C49:C50"/>
    <mergeCell ref="C39:C41"/>
    <mergeCell ref="C46:C48"/>
    <mergeCell ref="B20:B22"/>
    <mergeCell ref="D26:E26"/>
    <mergeCell ref="C26:C28"/>
    <mergeCell ref="D34:E34"/>
  </mergeCells>
  <dataValidations count="1">
    <dataValidation type="list" allowBlank="1" showInputMessage="1" showErrorMessage="1" sqref="K27:K28 G14 E14 E19 G19 I19 K19 I16 G21:G22 K14:K16 E21 I21 K21 I24 G24 E24 E27 G27 G30 E35 I35:I36 G40 E40 K35 K40 E47 I47 E30:E33 G35 I38 K38 G38 E38 I40:I41 K43 I43 G43 E43 E45 E50 G50 G47:G48 I50 K50 K45 I45 G45 I30 K30 I27 K24:K25 I14 K47" xr:uid="{4F850B23-72D3-42CE-AFF7-E77C4B7FF2EF}">
      <formula1>"Yes,No"</formula1>
    </dataValidation>
  </dataValidations>
  <hyperlinks>
    <hyperlink ref="E6" r:id="rId1" xr:uid="{1CA86482-C762-4B74-AE4C-5776DD22645C}"/>
  </hyperlinks>
  <pageMargins left="0.7" right="0.7" top="0.75" bottom="0.75" header="0.3" footer="0.3"/>
  <pageSetup orientation="portrait" r:id="rId2"/>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sheetPr>
    <tabColor theme="9" tint="0.79998168889431442"/>
  </sheetPr>
  <dimension ref="B2:I47"/>
  <sheetViews>
    <sheetView showGridLines="0" tabSelected="1" zoomScale="85" zoomScaleNormal="85" workbookViewId="0">
      <selection activeCell="F15" sqref="F15"/>
    </sheetView>
  </sheetViews>
  <sheetFormatPr defaultRowHeight="14.4" x14ac:dyDescent="0.3"/>
  <cols>
    <col min="1" max="1" width="3.109375" customWidth="1"/>
    <col min="2" max="2" width="32.33203125" bestFit="1" customWidth="1"/>
    <col min="3" max="3" width="57.33203125" bestFit="1" customWidth="1"/>
    <col min="4" max="4" width="16.6640625" bestFit="1" customWidth="1"/>
    <col min="5" max="7" width="15.6640625" customWidth="1"/>
    <col min="8" max="8" width="11" customWidth="1"/>
  </cols>
  <sheetData>
    <row r="2" spans="2:9" ht="31.2" customHeight="1" x14ac:dyDescent="0.3">
      <c r="B2" s="13" t="s">
        <v>0</v>
      </c>
      <c r="C2" s="13" t="s">
        <v>87</v>
      </c>
      <c r="D2" s="14" t="s">
        <v>1</v>
      </c>
      <c r="E2" s="14" t="s">
        <v>59</v>
      </c>
      <c r="F2" s="14" t="s">
        <v>2</v>
      </c>
      <c r="G2" s="14" t="s">
        <v>3</v>
      </c>
      <c r="I2" t="str">
        <f>_xlfn.TEXTJOIN(",",FALSE,B2:G2)</f>
        <v>DRM Pillar,Thematic Area,Legal and institutional set up,Intermediary DRM outputs,Key DRM achievements,Policy enablers</v>
      </c>
    </row>
    <row r="3" spans="2:9" x14ac:dyDescent="0.3">
      <c r="B3" s="13" t="s">
        <v>76</v>
      </c>
      <c r="C3" s="13" t="s">
        <v>68</v>
      </c>
      <c r="D3" s="13">
        <f>IF('Diagnostic Questions'!E14="Yes",1,0)</f>
        <v>1</v>
      </c>
      <c r="E3">
        <f>IF('Diagnostic Questions'!G14="Yes",1,0)</f>
        <v>1</v>
      </c>
      <c r="F3" s="13">
        <f>0.5*IF('Diagnostic Questions'!I14="Yes",1,0) + 0.5*IF('Diagnostic Questions'!I16="Yes",1,0)</f>
        <v>1</v>
      </c>
      <c r="G3" s="13">
        <f>ROUND(0.3333*IF('Diagnostic Questions'!K14="Yes",1,0) + 0.3333*IF('Diagnostic Questions'!K15="Yes",1,0) + 0.3333*IF('Diagnostic Questions'!K16="Yes",1,0),2)</f>
        <v>0</v>
      </c>
      <c r="I3" t="str">
        <f>_xlfn.TEXTJOIN(",",FALSE,B3:G3)</f>
        <v>Legal and Institutional DRM Framework,DRM policies and institutions,1,1,1,0</v>
      </c>
    </row>
    <row r="4" spans="2:9" x14ac:dyDescent="0.3">
      <c r="B4" s="13" t="s">
        <v>76</v>
      </c>
      <c r="C4" s="13" t="s">
        <v>69</v>
      </c>
      <c r="D4" s="13">
        <f>IF('Diagnostic Questions'!E19="Yes",1,0)</f>
        <v>0</v>
      </c>
      <c r="E4" s="13">
        <f>IF('Diagnostic Questions'!G19="Yes",1,0)</f>
        <v>0</v>
      </c>
      <c r="F4" s="13">
        <f>IF('Diagnostic Questions'!I19="Yes",1,0)</f>
        <v>1</v>
      </c>
      <c r="G4" s="13">
        <f>IF('Diagnostic Questions'!K19="Yes",1,0)</f>
        <v>1</v>
      </c>
      <c r="I4" t="str">
        <f>_xlfn.TEXTJOIN(",",FALSE,B4:G4)</f>
        <v>Legal and Institutional DRM Framework,Mainstreaming DRM into national and sectoral development plans,0,0,1,1</v>
      </c>
    </row>
    <row r="5" spans="2:9" x14ac:dyDescent="0.3">
      <c r="B5" s="13" t="s">
        <v>70</v>
      </c>
      <c r="C5" s="13" t="s">
        <v>90</v>
      </c>
      <c r="D5" s="13">
        <f>IF('Diagnostic Questions'!E21="Yes",1,0)</f>
        <v>0</v>
      </c>
      <c r="E5" s="13">
        <f>0.5*IF('Diagnostic Questions'!G21="Yes",1,0) + 0.5*IF('Diagnostic Questions'!G22="Yes",1,0)</f>
        <v>0.5</v>
      </c>
      <c r="F5" s="13">
        <f>IF('Diagnostic Questions'!I21="Yes",1,0)</f>
        <v>0</v>
      </c>
      <c r="G5" s="13">
        <f>IF('Diagnostic Questions'!K21="Yes",1,0)</f>
        <v>1</v>
      </c>
      <c r="I5" t="str">
        <f t="shared" ref="I5:I14" si="0">_xlfn.TEXTJOIN(",",FALSE,B5:G5)</f>
        <v>Risk Identification,Risk identification,0,0.5,0,1</v>
      </c>
    </row>
    <row r="6" spans="2:9" x14ac:dyDescent="0.3">
      <c r="B6" s="13" t="s">
        <v>77</v>
      </c>
      <c r="C6" s="13" t="s">
        <v>71</v>
      </c>
      <c r="D6" s="13">
        <f>IF('Diagnostic Questions'!E24="Yes",1,0)</f>
        <v>1</v>
      </c>
      <c r="E6" s="13">
        <f>IF('Diagnostic Questions'!G24="Yes",1,0)</f>
        <v>1</v>
      </c>
      <c r="F6" s="13">
        <f>IF('Diagnostic Questions'!I24="Yes",1,0)</f>
        <v>1</v>
      </c>
      <c r="G6" s="13">
        <f>0.5*IF('Diagnostic Questions'!K24="Yes",1,0) + 0.5*IF('Diagnostic Questions'!K25="Yes",1,0)</f>
        <v>1</v>
      </c>
      <c r="I6" t="str">
        <f t="shared" si="0"/>
        <v>Risk Reduction,Territorial and urban planning,1,1,1,1</v>
      </c>
    </row>
    <row r="7" spans="2:9" x14ac:dyDescent="0.3">
      <c r="B7" s="13" t="s">
        <v>77</v>
      </c>
      <c r="C7" s="13" t="s">
        <v>72</v>
      </c>
      <c r="D7" s="13">
        <f>IF('Diagnostic Questions'!E27="Yes",1,0)</f>
        <v>0</v>
      </c>
      <c r="E7" s="13">
        <f>IF('Diagnostic Questions'!G27="Yes",1,0)</f>
        <v>0</v>
      </c>
      <c r="F7" s="13">
        <f>IF('Diagnostic Questions'!I27="Yes",1,0)</f>
        <v>0</v>
      </c>
      <c r="G7" s="13">
        <f>0.5*IF('Diagnostic Questions'!K27="Yes",1,0) + 0.5*IF('Diagnostic Questions'!K28="Yes",1,0)</f>
        <v>0</v>
      </c>
      <c r="I7" t="str">
        <f t="shared" si="0"/>
        <v>Risk Reduction,Public investment at the central level,0,0,0,0</v>
      </c>
    </row>
    <row r="8" spans="2:9" x14ac:dyDescent="0.3">
      <c r="B8" s="13" t="s">
        <v>77</v>
      </c>
      <c r="C8" s="13" t="s">
        <v>73</v>
      </c>
      <c r="D8" s="13">
        <f>0.2*IF('Diagnostic Questions'!E30="Yes",1,0)+0.2*IF('Diagnostic Questions'!E31="Yes",1,0)+0.2*IF('Diagnostic Questions'!E32="Yes",1,0)+0.2*IF('Diagnostic Questions'!E33="Yes",1,0)+0.2*IF('Diagnostic Questions'!E35="Yes",1,0)</f>
        <v>0.8</v>
      </c>
      <c r="E8" s="13">
        <f>0.5*IF('Diagnostic Questions'!G30="Yes",1,0)+0.5*IF('Diagnostic Questions'!G35="Yes",1,0)</f>
        <v>0.5</v>
      </c>
      <c r="F8" s="13">
        <f>ROUND(0.3333*IF('Diagnostic Questions'!I30="Yes",1,0)+0.3333*IF('Diagnostic Questions'!I35="Yes",1,0)+0.3333*IF('Diagnostic Questions'!I36="Yes",1,0),2)</f>
        <v>1</v>
      </c>
      <c r="G8" s="13">
        <f>0.5*IF('Diagnostic Questions'!K30="Yes",1,0)+0.5*IF('Diagnostic Questions'!K35="Yes",1,0)</f>
        <v>1</v>
      </c>
      <c r="I8" t="str">
        <f t="shared" si="0"/>
        <v>Risk Reduction,Sector-specific risk reduction measures,0.8,0.5,1,1</v>
      </c>
    </row>
    <row r="9" spans="2:9" x14ac:dyDescent="0.3">
      <c r="B9" s="13" t="s">
        <v>78</v>
      </c>
      <c r="C9" s="13" t="s">
        <v>91</v>
      </c>
      <c r="D9" s="13">
        <f>IF('Diagnostic Questions'!E38="Yes",1,0)</f>
        <v>1</v>
      </c>
      <c r="E9" s="13">
        <f>IF('Diagnostic Questions'!G38="Yes",1,0)</f>
        <v>0</v>
      </c>
      <c r="F9" s="13">
        <f>IF('Diagnostic Questions'!I38="Yes",1,0)</f>
        <v>1</v>
      </c>
      <c r="G9" s="13">
        <f>IF('Diagnostic Questions'!K38="Yes",1,0)</f>
        <v>1</v>
      </c>
      <c r="I9" t="str">
        <f t="shared" si="0"/>
        <v>Preparedness,Early warning systems,1,0,1,1</v>
      </c>
    </row>
    <row r="10" spans="2:9" x14ac:dyDescent="0.3">
      <c r="B10" s="13" t="s">
        <v>78</v>
      </c>
      <c r="C10" s="13" t="s">
        <v>92</v>
      </c>
      <c r="D10" s="13">
        <f>IF('Diagnostic Questions'!E40="Yes",1,0)</f>
        <v>0</v>
      </c>
      <c r="E10" s="13">
        <f>IF('Diagnostic Questions'!G40="Yes",1,0)</f>
        <v>0</v>
      </c>
      <c r="F10" s="13">
        <f>0.5*IF('Diagnostic Questions'!I40="Yes",1,0) + 0.5*IF('Diagnostic Questions'!I41="Yes",1,0)</f>
        <v>1</v>
      </c>
      <c r="G10" s="13">
        <f>IF('Diagnostic Questions'!K40="Yes",1,0)</f>
        <v>1</v>
      </c>
      <c r="I10" t="str">
        <f t="shared" si="0"/>
        <v>Preparedness,Emergency preparedness and response,0,0,1,1</v>
      </c>
    </row>
    <row r="11" spans="2:9" x14ac:dyDescent="0.3">
      <c r="B11" s="13" t="s">
        <v>78</v>
      </c>
      <c r="C11" s="13" t="s">
        <v>93</v>
      </c>
      <c r="D11" s="13">
        <f>IF('Diagnostic Questions'!E43="Yes",1,0)</f>
        <v>0</v>
      </c>
      <c r="E11" s="13">
        <f>IF('Diagnostic Questions'!G43="Yes",1,0)</f>
        <v>0</v>
      </c>
      <c r="F11" s="13">
        <f>IF('Diagnostic Questions'!I43="Yes",1,0)</f>
        <v>0</v>
      </c>
      <c r="G11" s="13">
        <f>IF('Diagnostic Questions'!K43="Yes",1,0)</f>
        <v>0</v>
      </c>
      <c r="I11" t="str">
        <f t="shared" si="0"/>
        <v>Preparedness,Adaptive social protection,0,0,0,0</v>
      </c>
    </row>
    <row r="12" spans="2:9" x14ac:dyDescent="0.3">
      <c r="B12" s="13" t="s">
        <v>79</v>
      </c>
      <c r="C12" s="13" t="s">
        <v>74</v>
      </c>
      <c r="D12" s="13">
        <f>IF('Diagnostic Questions'!E45="Yes",1,0)</f>
        <v>0</v>
      </c>
      <c r="E12" s="13">
        <f>IF('Diagnostic Questions'!G45="Yes",1,0)</f>
        <v>0</v>
      </c>
      <c r="F12" s="13">
        <f>IF('Diagnostic Questions'!I45="Yes",1,0)</f>
        <v>0</v>
      </c>
      <c r="G12" s="13">
        <f>IF('Diagnostic Questions'!K45="Yes",1,0)</f>
        <v>0</v>
      </c>
      <c r="I12" t="str">
        <f t="shared" si="0"/>
        <v>Financial Protection,Fiscal risk management,0,0,0,0</v>
      </c>
    </row>
    <row r="13" spans="2:9" x14ac:dyDescent="0.3">
      <c r="B13" s="13" t="s">
        <v>79</v>
      </c>
      <c r="C13" s="13" t="s">
        <v>89</v>
      </c>
      <c r="D13" s="13">
        <f>IF('Diagnostic Questions'!E47="Yes",1,0)</f>
        <v>0</v>
      </c>
      <c r="E13" s="13">
        <f>0.5*IF('Diagnostic Questions'!G47="Yes",1,0)+0.5*IF('Diagnostic Questions'!G48="Yes",1,0)</f>
        <v>0</v>
      </c>
      <c r="F13" s="13">
        <f>IF('Diagnostic Questions'!I47="Yes",1,0)</f>
        <v>0</v>
      </c>
      <c r="G13" s="13">
        <f>IF('Diagnostic Questions'!K47="Yes",1,0)</f>
        <v>0</v>
      </c>
      <c r="I13" t="str">
        <f t="shared" si="0"/>
        <v>Financial Protection,DRF strategies and instruments,0,0,0,0</v>
      </c>
    </row>
    <row r="14" spans="2:9" x14ac:dyDescent="0.3">
      <c r="B14" s="13" t="s">
        <v>75</v>
      </c>
      <c r="C14" s="13" t="s">
        <v>94</v>
      </c>
      <c r="D14" s="13">
        <f>IF('Diagnostic Questions'!E50="Yes",1,0)</f>
        <v>0</v>
      </c>
      <c r="E14" s="13">
        <f>IF('Diagnostic Questions'!G50="Yes",1,0)</f>
        <v>0</v>
      </c>
      <c r="F14" s="13">
        <f>IF('Diagnostic Questions'!I50="Yes",1,0)</f>
        <v>0</v>
      </c>
      <c r="G14" s="13">
        <f>IF('Diagnostic Questions'!K50="Yes",1,0)</f>
        <v>0</v>
      </c>
      <c r="I14" t="str">
        <f t="shared" si="0"/>
        <v>Resilient Reconstruction,Resilient reconstruction,0,0,0,0</v>
      </c>
    </row>
    <row r="16" spans="2:9" x14ac:dyDescent="0.3">
      <c r="C16" s="6"/>
    </row>
    <row r="46" spans="2:2" x14ac:dyDescent="0.3">
      <c r="B46" t="s">
        <v>103</v>
      </c>
    </row>
    <row r="47" spans="2:2" x14ac:dyDescent="0.3">
      <c r="B47" s="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Diagnostic Questions</vt:lpstr>
      <vt:lpstr>Summary (to be hidden)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2025-11-13T13:25:25Z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