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62bed0b45625b526/World_Bank_DRM/Cat DDO Roadmap/"/>
    </mc:Choice>
  </mc:AlternateContent>
  <xr:revisionPtr revIDLastSave="1331" documentId="8_{897DEB52-8293-498E-AAF6-D0CE94892166}" xr6:coauthVersionLast="47" xr6:coauthVersionMax="47" xr10:uidLastSave="{544E320E-8B6F-4139-8176-5BA223BAA1EB}"/>
  <bookViews>
    <workbookView xWindow="-108" yWindow="-108" windowWidth="30936" windowHeight="16776" activeTab="1" xr2:uid="{D35593D8-ABCE-4EA8-921D-2F7793671AB9}"/>
  </bookViews>
  <sheets>
    <sheet name="Questions" sheetId="1" r:id="rId1"/>
    <sheet name="Sheet1"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2" l="1"/>
  <c r="E13" i="2"/>
  <c r="D13" i="2"/>
  <c r="G14" i="2"/>
  <c r="F14" i="2"/>
  <c r="E14" i="2"/>
  <c r="D14" i="2"/>
  <c r="G13" i="2"/>
  <c r="F13" i="2"/>
  <c r="G12" i="2"/>
  <c r="F12" i="2"/>
  <c r="E12" i="2"/>
  <c r="D12" i="2"/>
  <c r="G11" i="2"/>
  <c r="F11" i="2"/>
  <c r="E11" i="2"/>
  <c r="D11" i="2"/>
  <c r="F10" i="2"/>
  <c r="G10" i="2"/>
  <c r="E10" i="2"/>
  <c r="D10" i="2"/>
  <c r="G9" i="2"/>
  <c r="F9" i="2"/>
  <c r="E9" i="2"/>
  <c r="D9" i="2"/>
  <c r="G8" i="2"/>
  <c r="F8" i="2"/>
  <c r="D8" i="2"/>
  <c r="D7" i="2"/>
  <c r="G7" i="2"/>
  <c r="F7" i="2"/>
  <c r="E7" i="2"/>
  <c r="G6" i="2"/>
  <c r="F6" i="2"/>
  <c r="E6" i="2"/>
  <c r="D6" i="2"/>
  <c r="G5" i="2"/>
  <c r="F5" i="2"/>
  <c r="E5" i="2"/>
  <c r="D5" i="2"/>
  <c r="G4" i="2"/>
  <c r="F4" i="2"/>
  <c r="E4" i="2"/>
  <c r="D4" i="2"/>
  <c r="G3" i="2"/>
  <c r="F3" i="2"/>
  <c r="E3" i="2"/>
  <c r="D16" i="2"/>
  <c r="D3" i="2"/>
</calcChain>
</file>

<file path=xl/sharedStrings.xml><?xml version="1.0" encoding="utf-8"?>
<sst xmlns="http://schemas.openxmlformats.org/spreadsheetml/2006/main" count="228" uniqueCount="102">
  <si>
    <t>DRM Pillar</t>
  </si>
  <si>
    <t>DRM sub-pillar</t>
  </si>
  <si>
    <t>Legal and institutional set up</t>
  </si>
  <si>
    <t>Key DRM achievements</t>
  </si>
  <si>
    <t>Policy enablers</t>
  </si>
  <si>
    <t>1. Legal and Institutional DRM Framework</t>
  </si>
  <si>
    <t>1.1. DRM policies and institutions</t>
  </si>
  <si>
    <t>Is there a legal framework (e.g., DRM law or others) defining distinct mandates for, on the one hand, disaster risk reduction and, on the other, emergency management?</t>
  </si>
  <si>
    <t xml:space="preserve">Did the institution responsible for coordinating or leading DRM activities receive dedicated funding for these functions in the last fiscal year? </t>
  </si>
  <si>
    <t xml:space="preserve">Since the adoption of the DRM legal framework: 
(1) have DRM policy instruments (e.g., DRM strategies or policies) been officially approved? 
(2)  have DRM-related regulations (e.g., rules on the structure or functions of the DRM agency) been officially approved? If yes, please specify which policy document(s) and/or regulation(s). </t>
  </si>
  <si>
    <t>(1) Are gender-specific considerations included in DRM legal frameworks? 
(2) Is climate change and its potential impact on disaster risk included in DRM legal frameworks? 
(3) When they exist, do climate change laws and regulations (such as climate laws or climate adaptation policy/strategies) contain disaster risk management as a target, aim, mean or result?</t>
  </si>
  <si>
    <t xml:space="preserve">Yes/No: </t>
  </si>
  <si>
    <t>1.2. Mainstreaming DRM into national and sectoral development plans</t>
  </si>
  <si>
    <t>Does the National Development Strategy (or equivalent national planning instrument) contain objectives, targets or indicators related to DRM and/or CCA?</t>
  </si>
  <si>
    <t>Is there a reporting or monitoring mechanism to track progress toward DRM and/or CCA targets included in the National Development Strategies? If yes, please report those progress</t>
  </si>
  <si>
    <t xml:space="preserve">Is the integration of DRM considerations into sectoral planning documents coordinated at the central level and guided by norms and clear standards? </t>
  </si>
  <si>
    <t>2. Risk Identification</t>
  </si>
  <si>
    <t>-</t>
  </si>
  <si>
    <t>Is existing hazard and risk information: 
(1) available to all essential government entities (e.g., through a set of MoUs)? 
(2) accessible to all citizens through open-data platforms?</t>
  </si>
  <si>
    <t>Do available national risk assessments or disaster risk profiles account for the potential impacts of climate change?</t>
  </si>
  <si>
    <t>3. Risk Reduction</t>
  </si>
  <si>
    <t>3.1. Territorial and urban planning</t>
  </si>
  <si>
    <t>Do laws and regulations mandate the use of risk information (e.g., hazard maps, risk assessments...) to develop territorial, spatial, land use or urban planning instruments?</t>
  </si>
  <si>
    <t>Do official methodologies to guide the development of risk-informed territorial, spatial, land use or urban planning instruments exist?</t>
  </si>
  <si>
    <t>Have at least 50% of the instruments (territorial, spatial, land use or urban planning) approved in the last 4 years used risk information (e.g., hazard maps, risk assessments)?</t>
  </si>
  <si>
    <t>(1) Are there specific regulations governing the identification and zoning process of high-risk areas? 
(2) Do guidelines or procedures for managing housing located in high-risk areas exist?</t>
  </si>
  <si>
    <t>3.2. Public investment at the central level</t>
  </si>
  <si>
    <t>Do laws and regulations mandate disaster and climate risk screening as part of the appraisal of new public investment projects?</t>
  </si>
  <si>
    <t xml:space="preserve">Do official guidelines defining disaster and climate risk screening methodologies for new public investment projects exist? </t>
  </si>
  <si>
    <t>Are risk mitigation measures in place for new projects that have been appraised as high-risk (or equivalent) through the disaster and climate screening process?</t>
  </si>
  <si>
    <t xml:space="preserve">(1) Do the regulations governing environmental impact assessments (or equivalent process) include specific provisions for disaster risk analysis?
(2) Are Public-Private Partnership projects also included in climate and disaster risk screening? </t>
  </si>
  <si>
    <t>3.3. Sector-specific risk reduction measures</t>
  </si>
  <si>
    <t>Are there legally binding standards or technical guidelines for the design and construction of disaster-resilient critical infrastructure in the following sectors: 
(1) transport (roads)
(2) education (schools) 
(3) health (hospitals)
(4) energy infrastructure?</t>
  </si>
  <si>
    <t>Is there at least one legally binding building code or standard that requires earthquake-resistant or other hazard-resistant (e.g., wind, flood) design for buildings?</t>
  </si>
  <si>
    <t>Is there an asset management system for public infrastructure that includes disaster risk analysis?</t>
  </si>
  <si>
    <t xml:space="preserve">Is the legal framework and institutional arrangements for water supply and sanitation in urban areas considering flood risk? </t>
  </si>
  <si>
    <t>Is there a legal framework and institutional arrangements for integrated water resources management (IWRM) that explicitly incorporates flood and drought risk considerations?</t>
  </si>
  <si>
    <t>Over the last 4 years: 
(1) have any watershed basins undergone improvements in water management?
(2) has the percentage of urban residents with access to sewage services been maintained or increased?</t>
  </si>
  <si>
    <t xml:space="preserve">Are water governance policy documents considering changes to rainfall patterns under different climate scenarios? </t>
  </si>
  <si>
    <t>4. Preparedness</t>
  </si>
  <si>
    <t>4.1. Early Warning Systems (EWS)</t>
  </si>
  <si>
    <t>Do institutions involved in EWS—data producers, decision-makers, and implementers of preparedness and response—operate under an established, functional coordination mechanism, evidenced by formal arrangements such as MoUs or regular coordination platform meetings?</t>
  </si>
  <si>
    <t xml:space="preserve">Over the most recent major disaster, was the population promptly alerted (e.g., via SMS or other tailored communication channels)? </t>
  </si>
  <si>
    <t>Over the past four years, has there been at least one budget allocation for the expansion, maintenance, or operation of the hydrometeorological network?</t>
  </si>
  <si>
    <t>4.2. Emergency Preparedness and Response (EP&amp;R)</t>
  </si>
  <si>
    <t xml:space="preserve">Is there a legal framework for EP&amp;R clearly defining the roles and responsibilities of institutions involved in disaster management? </t>
  </si>
  <si>
    <t>Have at least 75% of the subnational EP&amp;R entities mandated by EP&amp;R law and regulations (or equivalent) been officially established?</t>
  </si>
  <si>
    <t xml:space="preserve">Do emergency preparedness plans incorporate gender-sensitive measures, such as gender-based violence prevention, safe shelters, and women's specific needs during evacuation and displacement? </t>
  </si>
  <si>
    <t>4.3. Adaptive Social Protection (ASP)</t>
  </si>
  <si>
    <t>Is there a legal framework clearly defining the roles and responsibilities of institutions involved in ASP (e.g., social protection, finance, DRM)?</t>
  </si>
  <si>
    <t>Is there a unified social registry incorporating exposure and vulnerability data to facilitate the targeting of population potentially affected in case of disaster or climate-related shocks?</t>
  </si>
  <si>
    <t>During the most recent disaster or climate-related shocks, was support promptly provided to the population through social‐protection programs?  (e.g., cash transfers in the case of drought)?</t>
  </si>
  <si>
    <t xml:space="preserve">Are there pre-arranged financing mechanisms that can be specifically used to support timely scaling-up of regular SP programs? </t>
  </si>
  <si>
    <t>5. Financial Protection</t>
  </si>
  <si>
    <t>5.1. Fiscal risk management</t>
  </si>
  <si>
    <t xml:space="preserve">Has the Ministry of Finance created or tasked an existing institutional structure (e.g., department, unit, committee) to manage contingent liabilities and/or fiscal risks, explicitly including those associated with disasters? </t>
  </si>
  <si>
    <t>Are contingent liabilities associated with disasters quantified through an established methodology for the major hazards?</t>
  </si>
  <si>
    <t>Do key fiscal policy documents (e.g., the medium-term fiscal framework or fiscal risk statements) include quantified assessments of disaster risks? If yes, please specify which document(s).</t>
  </si>
  <si>
    <t>Has the government conducted stress tests of public debt that include disaster or climate-related scenarios?</t>
  </si>
  <si>
    <t>5.2. Disaster Risk Financing (DRF) strategies and instruments</t>
  </si>
  <si>
    <t xml:space="preserve">Are there sovereign risk financing instruments (e.g., disaster or emergency funds, contingent loans, insurance or other risk transfer mechanisms) in place to manage the financial impact of disasters and climate-related shocks? If yes, please list them. </t>
  </si>
  <si>
    <t>(1) Is the disaster fund (or equivalent mechanism) receiving a budget allocation? 
(2) Are there regulations that define standards for catastrophe insurance coverage of public or private assets?</t>
  </si>
  <si>
    <t>Over the past 4 years, has the $ amount of financing that can be mobilized through sovereign risk financing instruments increased? Please provide numbers when available</t>
  </si>
  <si>
    <t>Is there a legal or policy framework that outlines a layered Disaster Risk Financing (DRF) strategy combining risk retention and risk transfer instruments?</t>
  </si>
  <si>
    <t>6. Resilient Reconstruction</t>
  </si>
  <si>
    <t>Are there laws or regulations that establish the institutions responsible for coordinating post-disaster recovery and reconstruction?</t>
  </si>
  <si>
    <t>Have at least 50% of the essential government entities approved ex-ante sector-specific reconstruction guidelines?</t>
  </si>
  <si>
    <r>
      <rPr>
        <sz val="11"/>
        <color rgb="FF000000"/>
        <rFont val="Aptos Narrow"/>
        <scheme val="minor"/>
      </rPr>
      <t xml:space="preserve">After the most recent major disaster, have the zoning, land use or territorial planning instruments in the affected areas been reviewed to </t>
    </r>
    <r>
      <rPr>
        <i/>
        <sz val="11"/>
        <color rgb="FF000000"/>
        <rFont val="Aptos Narrow"/>
        <scheme val="minor"/>
      </rPr>
      <t>build back better</t>
    </r>
    <r>
      <rPr>
        <sz val="11"/>
        <color rgb="FF000000"/>
        <rFont val="Aptos Narrow"/>
        <scheme val="minor"/>
      </rPr>
      <t>?</t>
    </r>
  </si>
  <si>
    <t>Have guidelines or regulations to conduct post-disaster damage and needs assessments been developed and approved?</t>
  </si>
  <si>
    <t>Do laws and regulations clearly define institutional responsibilities and mandates for producing, acquiring, and managing risk information (e.g., hazard information, vulnerability assessments, risk profiles, historical disaster databases)?</t>
  </si>
  <si>
    <t>Do at least half of the essential government entities use existing risk information to inform their sectoral planning processes?</t>
  </si>
  <si>
    <t xml:space="preserve">Over the last 4 years, is there at least one public project/program that has received a budget allocation for retrofitting works based on vulnerability assessments and resilient standards? </t>
  </si>
  <si>
    <t>Is there a legal framework clearly defining the roles and responsibility of institutions involved in Early Warning Systems, avoiding fragmentation?</t>
  </si>
  <si>
    <t>(1) Does at least 75% of essential government entities have an emergency response protocol / operational continuity plan? 
(2) Does at least 75% of subnational EP&amp;R entities have an approved contingency plan / emergency response protocol?</t>
  </si>
  <si>
    <t>Intermediary DRM outputs</t>
  </si>
  <si>
    <t xml:space="preserve">(1) Yes/No: </t>
  </si>
  <si>
    <t xml:space="preserve">(2) Yes/No: </t>
  </si>
  <si>
    <t xml:space="preserve">(3) Yes/No: </t>
  </si>
  <si>
    <t>(3) Yes/No:</t>
  </si>
  <si>
    <t>(4) Yes/No:</t>
  </si>
  <si>
    <t>(1) Yes/No:</t>
  </si>
  <si>
    <t>Yes</t>
  </si>
  <si>
    <t>No</t>
  </si>
  <si>
    <r>
      <t>Since the adoption of the National Development Strategy, have at least 50% of essential government entities*</t>
    </r>
    <r>
      <rPr>
        <sz val="10"/>
        <color theme="1"/>
        <rFont val="Calibri"/>
        <charset val="1"/>
      </rPr>
      <t xml:space="preserve"> included explicit DRM and/or CCA targets and indicators in their strategic planning documents?</t>
    </r>
  </si>
  <si>
    <t>* Essential government entities refer to the main ministry or agency in charge of the followings sectors: Agriculture, Education, Housing, Health, Energy, Tourism, Transport, Water and Sanitation.</t>
  </si>
  <si>
    <t>DRM policies and institutions</t>
  </si>
  <si>
    <t>Mainstreaming DRM into national and sectoral development plans</t>
  </si>
  <si>
    <t>Risk Identification</t>
  </si>
  <si>
    <t>Territorial and urban planning</t>
  </si>
  <si>
    <t>Public investment at the central level</t>
  </si>
  <si>
    <t>Sector-specific risk reduction measures</t>
  </si>
  <si>
    <t>Early Warning Systems (EWS)</t>
  </si>
  <si>
    <t>Emergency Preparedness and Response (EP&amp;R)</t>
  </si>
  <si>
    <t>Adaptive Social Protection (ASP)</t>
  </si>
  <si>
    <t>Fiscal risk management</t>
  </si>
  <si>
    <t>Disaster Risk Financing (DRF) strategies and instruments</t>
  </si>
  <si>
    <t>Resilient Reconstruction</t>
  </si>
  <si>
    <t>Legal and Institutional DRM Framework</t>
  </si>
  <si>
    <t>Risk Reduction</t>
  </si>
  <si>
    <t>Preparedness</t>
  </si>
  <si>
    <t>Financial Protection</t>
  </si>
  <si>
    <t>Number of questions unanswered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</si>
</sst>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0"/>
      <color theme="1"/>
      <name val="Calibri"/>
      <family val="2"/>
      <charset val="1"/>
    </font>
    <font>
      <sz val="10"/>
      <color theme="1"/>
      <name val="Calibri"/>
      <charset val="1"/>
    </font>
    <font>
      <sz val="11"/>
      <color rgb="FF000000"/>
      <name val="Aptos Narrow"/>
      <scheme val="minor"/>
    </font>
    <font>
      <i/>
      <sz val="11"/>
      <color rgb="FFFF0000"/>
      <name val="Aptos Narrow"/>
      <family val="2"/>
      <scheme val="minor"/>
    </font>
    <font>
      <sz val="11"/>
      <color rgb="FF242424"/>
      <name val="Aptos Narrow"/>
      <charset val="1"/>
    </font>
    <font>
      <i/>
      <sz val="11"/>
      <color rgb="FF000000"/>
      <name val="Aptos Narrow"/>
      <scheme val="minor"/>
    </font>
    <font>
      <sz val="14"/>
      <color theme="1"/>
      <name val="Aptos Narrow"/>
      <family val="2"/>
      <scheme val="minor"/>
    </font>
    <font>
      <b/>
      <sz val="14"/>
      <color rgb="FF000000"/>
      <name val="Calibri"/>
      <family val="2"/>
    </font>
    <font>
      <b/>
      <sz val="14"/>
      <color theme="1"/>
      <name val="Calibri"/>
      <family val="2"/>
    </font>
    <font>
      <sz val="11"/>
      <color rgb="FF000000"/>
      <name val="Calibri"/>
      <family val="2"/>
    </font>
    <font>
      <sz val="11"/>
      <color theme="1"/>
      <name val="Calibri"/>
      <family val="2"/>
    </font>
    <font>
      <b/>
      <u/>
      <sz val="12"/>
      <color theme="0"/>
      <name val="Aptos Narrow"/>
      <family val="2"/>
      <scheme val="minor"/>
    </font>
    <font>
      <sz val="12"/>
      <color theme="0"/>
      <name val="Aptos Narrow"/>
      <family val="2"/>
      <scheme val="minor"/>
    </font>
    <font>
      <sz val="11"/>
      <color rgb="FF000000"/>
      <name val="Calibri"/>
    </font>
    <font>
      <sz val="10"/>
      <color theme="1"/>
      <name val="Calibri"/>
      <family val="2"/>
    </font>
    <font>
      <b/>
      <sz val="11"/>
      <color rgb="FFFA7D00"/>
      <name val="Aptos Narrow"/>
      <family val="2"/>
      <scheme val="minor"/>
    </font>
    <font>
      <b/>
      <sz val="11"/>
      <color theme="0"/>
      <name val="Aptos Narrow"/>
      <family val="2"/>
      <scheme val="minor"/>
    </font>
    <font>
      <sz val="11"/>
      <color theme="0"/>
      <name val="Aptos Narrow"/>
      <family val="2"/>
      <scheme val="minor"/>
    </font>
  </fonts>
  <fills count="6">
    <fill>
      <patternFill patternType="none"/>
    </fill>
    <fill>
      <patternFill patternType="gray125"/>
    </fill>
    <fill>
      <patternFill patternType="solid">
        <fgColor theme="3" tint="0.249977111117893"/>
        <bgColor indexed="64"/>
      </patternFill>
    </fill>
    <fill>
      <patternFill patternType="solid">
        <fgColor rgb="FFF2F2F2"/>
      </patternFill>
    </fill>
    <fill>
      <patternFill patternType="solid">
        <fgColor theme="4"/>
      </patternFill>
    </fill>
    <fill>
      <patternFill patternType="solid">
        <fgColor rgb="FFE6F0FA"/>
        <bgColor indexed="64"/>
      </patternFill>
    </fill>
  </fills>
  <borders count="34">
    <border>
      <left/>
      <right/>
      <top/>
      <bottom/>
      <diagonal/>
    </border>
    <border>
      <left style="thin">
        <color rgb="FF000000"/>
      </left>
      <right/>
      <top/>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rgb="FF000000"/>
      </right>
      <top style="medium">
        <color indexed="64"/>
      </top>
      <bottom/>
      <diagonal/>
    </border>
    <border>
      <left style="thin">
        <color rgb="FF000000"/>
      </left>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style="medium">
        <color indexed="64"/>
      </right>
      <top style="medium">
        <color indexed="64"/>
      </top>
      <bottom/>
      <diagonal/>
    </border>
    <border>
      <left style="medium">
        <color indexed="64"/>
      </left>
      <right style="thin">
        <color rgb="FF000000"/>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rgb="FF000000"/>
      </right>
      <top/>
      <bottom style="medium">
        <color indexed="64"/>
      </bottom>
      <diagonal/>
    </border>
    <border>
      <left style="thin">
        <color rgb="FF000000"/>
      </left>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rgb="FF000000"/>
      </left>
      <right style="thin">
        <color indexed="64"/>
      </right>
      <top style="medium">
        <color indexed="64"/>
      </top>
      <bottom/>
      <diagonal/>
    </border>
    <border>
      <left/>
      <right style="thin">
        <color rgb="FF000000"/>
      </right>
      <top style="medium">
        <color indexed="64"/>
      </top>
      <bottom/>
      <diagonal/>
    </border>
    <border>
      <left style="thin">
        <color rgb="FF000000"/>
      </left>
      <right style="thin">
        <color rgb="FF000000"/>
      </right>
      <top style="medium">
        <color indexed="64"/>
      </top>
      <bottom/>
      <diagonal/>
    </border>
  </borders>
  <cellStyleXfs count="3">
    <xf numFmtId="0" fontId="0" fillId="0" borderId="0"/>
    <xf numFmtId="0" fontId="16" fillId="3" borderId="4" applyNumberFormat="0" applyBorder="0" applyAlignment="0" applyProtection="0"/>
    <xf numFmtId="0" fontId="18" fillId="4" borderId="0" applyNumberFormat="0" applyBorder="0" applyAlignment="0" applyProtection="0"/>
  </cellStyleXfs>
  <cellXfs count="145">
    <xf numFmtId="0" fontId="0" fillId="0" borderId="0" xfId="0"/>
    <xf numFmtId="0" fontId="0" fillId="0" borderId="0" xfId="0" applyAlignment="1">
      <alignment vertical="center"/>
    </xf>
    <xf numFmtId="0" fontId="13" fillId="2" borderId="0" xfId="0" applyFont="1" applyFill="1" applyAlignment="1">
      <alignment horizontal="center" vertical="center"/>
    </xf>
    <xf numFmtId="0" fontId="13" fillId="0" borderId="0" xfId="0" applyFont="1" applyAlignment="1">
      <alignment horizontal="center" vertical="center"/>
    </xf>
    <xf numFmtId="0" fontId="0" fillId="0" borderId="0" xfId="0" applyAlignment="1">
      <alignment wrapText="1"/>
    </xf>
    <xf numFmtId="0" fontId="5" fillId="0" borderId="0" xfId="0" applyFont="1" applyAlignment="1">
      <alignment wrapText="1"/>
    </xf>
    <xf numFmtId="0" fontId="7" fillId="0" borderId="0" xfId="0" applyFont="1"/>
    <xf numFmtId="0" fontId="0" fillId="0" borderId="0" xfId="0" applyAlignment="1">
      <alignment horizontal="left" vertical="center"/>
    </xf>
    <xf numFmtId="0" fontId="11" fillId="0" borderId="1" xfId="0" applyFont="1" applyFill="1" applyBorder="1" applyAlignment="1">
      <alignment horizontal="center" vertical="center" wrapText="1"/>
    </xf>
    <xf numFmtId="0" fontId="11" fillId="0" borderId="3" xfId="0" applyFont="1" applyFill="1" applyBorder="1" applyAlignment="1">
      <alignment horizontal="center" vertical="center" wrapText="1"/>
    </xf>
    <xf numFmtId="0" fontId="11" fillId="0" borderId="2" xfId="0" applyFont="1" applyFill="1" applyBorder="1" applyAlignment="1">
      <alignment horizontal="center" vertical="center" wrapText="1"/>
    </xf>
    <xf numFmtId="0" fontId="2" fillId="0" borderId="0" xfId="0" applyFont="1" applyFill="1" applyBorder="1" applyAlignment="1">
      <alignment horizontal="right" vertical="center" wrapText="1"/>
    </xf>
    <xf numFmtId="0" fontId="1" fillId="0" borderId="0" xfId="0" applyFont="1" applyFill="1" applyBorder="1" applyAlignment="1">
      <alignment horizontal="right" vertical="center" wrapText="1"/>
    </xf>
    <xf numFmtId="0" fontId="0" fillId="0" borderId="0" xfId="0" applyBorder="1"/>
    <xf numFmtId="0" fontId="2" fillId="0" borderId="8" xfId="0" applyFont="1" applyFill="1" applyBorder="1" applyAlignment="1">
      <alignment horizontal="right" vertical="center" wrapText="1"/>
    </xf>
    <xf numFmtId="0" fontId="15" fillId="0" borderId="8" xfId="0" applyFont="1" applyFill="1" applyBorder="1" applyAlignment="1">
      <alignment horizontal="right" vertical="center" wrapText="1"/>
    </xf>
    <xf numFmtId="0" fontId="16" fillId="3" borderId="9" xfId="1" applyBorder="1" applyAlignment="1">
      <alignment horizontal="center" vertical="center" wrapText="1"/>
    </xf>
    <xf numFmtId="0" fontId="1" fillId="0" borderId="10" xfId="0" applyFont="1" applyFill="1" applyBorder="1" applyAlignment="1">
      <alignment horizontal="right" vertical="center" wrapText="1"/>
    </xf>
    <xf numFmtId="0" fontId="1" fillId="0" borderId="8" xfId="0" applyFont="1" applyFill="1" applyBorder="1" applyAlignment="1">
      <alignment horizontal="right" vertical="center" wrapText="1"/>
    </xf>
    <xf numFmtId="0" fontId="2" fillId="0" borderId="22" xfId="0" applyFont="1" applyFill="1" applyBorder="1" applyAlignment="1">
      <alignment horizontal="right" vertical="center" wrapText="1"/>
    </xf>
    <xf numFmtId="0" fontId="2" fillId="0" borderId="24" xfId="0" applyFont="1" applyFill="1" applyBorder="1" applyAlignment="1">
      <alignment horizontal="right" vertical="center" wrapText="1"/>
    </xf>
    <xf numFmtId="0" fontId="9" fillId="0" borderId="12" xfId="0" applyFont="1" applyFill="1" applyBorder="1" applyAlignment="1">
      <alignment horizontal="center" vertical="center" wrapText="1"/>
    </xf>
    <xf numFmtId="0" fontId="11" fillId="0" borderId="26" xfId="0" applyFont="1" applyFill="1" applyBorder="1" applyAlignment="1">
      <alignment horizontal="center" vertical="center" wrapText="1"/>
    </xf>
    <xf numFmtId="0" fontId="9" fillId="0" borderId="20" xfId="0" applyFont="1" applyFill="1" applyBorder="1" applyAlignment="1">
      <alignment horizontal="center" vertical="center" wrapText="1"/>
    </xf>
    <xf numFmtId="0" fontId="11" fillId="0" borderId="24" xfId="0" applyFont="1" applyFill="1" applyBorder="1" applyAlignment="1">
      <alignment horizontal="center" vertical="center" wrapText="1"/>
    </xf>
    <xf numFmtId="0" fontId="11" fillId="0" borderId="13" xfId="0" applyFont="1" applyFill="1" applyBorder="1" applyAlignment="1">
      <alignment horizontal="center" vertical="center" wrapText="1"/>
    </xf>
    <xf numFmtId="0" fontId="9" fillId="0" borderId="17" xfId="0" applyFont="1" applyFill="1" applyBorder="1" applyAlignment="1">
      <alignment horizontal="center" vertical="center" wrapText="1"/>
    </xf>
    <xf numFmtId="0" fontId="11" fillId="0" borderId="21" xfId="0" applyFont="1" applyFill="1" applyBorder="1" applyAlignment="1">
      <alignment horizontal="center" vertical="center" wrapText="1"/>
    </xf>
    <xf numFmtId="0" fontId="1" fillId="0" borderId="22" xfId="0" applyFont="1" applyFill="1" applyBorder="1" applyAlignment="1">
      <alignment horizontal="right" vertical="center" wrapText="1"/>
    </xf>
    <xf numFmtId="0" fontId="1" fillId="0" borderId="24" xfId="0" applyFont="1" applyFill="1" applyBorder="1" applyAlignment="1">
      <alignment horizontal="right" vertical="center" wrapText="1"/>
    </xf>
    <xf numFmtId="0" fontId="16" fillId="3" borderId="27" xfId="1" applyBorder="1" applyAlignment="1">
      <alignment horizontal="center" vertical="center" wrapText="1"/>
    </xf>
    <xf numFmtId="0" fontId="16" fillId="3" borderId="23" xfId="1" applyBorder="1" applyAlignment="1">
      <alignment horizontal="center" vertical="center" wrapText="1"/>
    </xf>
    <xf numFmtId="0" fontId="16" fillId="3" borderId="25" xfId="1" applyBorder="1" applyAlignment="1">
      <alignment horizontal="center" vertical="center" wrapText="1"/>
    </xf>
    <xf numFmtId="0" fontId="1" fillId="0" borderId="10" xfId="0" applyFont="1" applyFill="1" applyBorder="1" applyAlignment="1">
      <alignment vertical="center" wrapText="1"/>
    </xf>
    <xf numFmtId="0" fontId="16" fillId="3" borderId="11" xfId="1" applyBorder="1" applyAlignment="1">
      <alignment horizontal="center" vertical="center" wrapText="1"/>
    </xf>
    <xf numFmtId="0" fontId="16" fillId="3" borderId="18" xfId="1" applyBorder="1" applyAlignment="1">
      <alignment horizontal="center" vertical="center" wrapText="1"/>
    </xf>
    <xf numFmtId="0" fontId="0" fillId="0" borderId="0" xfId="0" applyBorder="1" applyAlignment="1">
      <alignment horizontal="center"/>
    </xf>
    <xf numFmtId="0" fontId="0" fillId="0" borderId="0" xfId="0" applyAlignment="1">
      <alignment horizontal="center"/>
    </xf>
    <xf numFmtId="0" fontId="0" fillId="0" borderId="0" xfId="0" applyBorder="1" applyAlignment="1">
      <alignment vertical="center" wrapText="1"/>
    </xf>
    <xf numFmtId="0" fontId="8" fillId="5" borderId="12" xfId="0" applyFont="1" applyFill="1" applyBorder="1" applyAlignment="1">
      <alignment horizontal="center" vertical="center" wrapText="1"/>
    </xf>
    <xf numFmtId="0" fontId="14" fillId="5" borderId="31" xfId="0" applyFont="1" applyFill="1" applyBorder="1" applyAlignment="1">
      <alignment horizontal="center" vertical="center" wrapText="1"/>
    </xf>
    <xf numFmtId="0" fontId="8" fillId="5" borderId="17" xfId="0" applyFont="1" applyFill="1" applyBorder="1" applyAlignment="1">
      <alignment horizontal="center" vertical="center" wrapText="1"/>
    </xf>
    <xf numFmtId="0" fontId="14" fillId="5" borderId="29" xfId="0" applyFont="1" applyFill="1" applyBorder="1" applyAlignment="1">
      <alignment horizontal="center" vertical="center" wrapText="1"/>
    </xf>
    <xf numFmtId="0" fontId="2" fillId="5" borderId="8" xfId="0" applyFont="1" applyFill="1" applyBorder="1" applyAlignment="1">
      <alignment horizontal="right" vertical="center" wrapText="1"/>
    </xf>
    <xf numFmtId="0" fontId="10" fillId="5" borderId="2" xfId="0" applyFont="1" applyFill="1" applyBorder="1" applyAlignment="1">
      <alignment horizontal="center" vertical="center" wrapText="1"/>
    </xf>
    <xf numFmtId="0" fontId="8" fillId="5" borderId="20" xfId="0" applyFont="1" applyFill="1" applyBorder="1" applyAlignment="1">
      <alignment horizontal="center" vertical="center" wrapText="1"/>
    </xf>
    <xf numFmtId="0" fontId="10" fillId="5" borderId="21" xfId="0" applyFont="1" applyFill="1" applyBorder="1" applyAlignment="1">
      <alignment horizontal="center" vertical="center" wrapText="1"/>
    </xf>
    <xf numFmtId="0" fontId="2" fillId="5" borderId="22" xfId="0" applyFont="1" applyFill="1" applyBorder="1" applyAlignment="1">
      <alignment horizontal="right" vertical="center" wrapText="1"/>
    </xf>
    <xf numFmtId="0" fontId="10" fillId="5" borderId="13" xfId="0" applyFont="1" applyFill="1" applyBorder="1" applyAlignment="1">
      <alignment horizontal="center" vertical="center" wrapText="1"/>
    </xf>
    <xf numFmtId="0" fontId="10" fillId="5" borderId="1" xfId="0" applyFont="1" applyFill="1" applyBorder="1" applyAlignment="1">
      <alignment horizontal="center" vertical="center" wrapText="1"/>
    </xf>
    <xf numFmtId="0" fontId="15" fillId="5" borderId="8" xfId="0" applyFont="1" applyFill="1" applyBorder="1" applyAlignment="1">
      <alignment horizontal="right" vertical="center" wrapText="1"/>
    </xf>
    <xf numFmtId="0" fontId="10" fillId="5" borderId="3" xfId="0" applyFont="1" applyFill="1" applyBorder="1" applyAlignment="1">
      <alignment horizontal="center" vertical="center" wrapText="1"/>
    </xf>
    <xf numFmtId="0" fontId="2" fillId="5" borderId="10" xfId="0" applyFont="1" applyFill="1" applyBorder="1" applyAlignment="1">
      <alignment horizontal="right" vertical="center" wrapText="1"/>
    </xf>
    <xf numFmtId="0" fontId="15" fillId="5" borderId="0" xfId="0" applyFont="1" applyFill="1" applyBorder="1" applyAlignment="1">
      <alignment horizontal="right" vertical="center" wrapText="1"/>
    </xf>
    <xf numFmtId="0" fontId="2" fillId="5" borderId="24" xfId="0" applyFont="1" applyFill="1" applyBorder="1" applyAlignment="1">
      <alignment horizontal="right" vertical="center" wrapText="1"/>
    </xf>
    <xf numFmtId="0" fontId="10" fillId="5" borderId="28" xfId="0" applyFont="1" applyFill="1" applyBorder="1" applyAlignment="1">
      <alignment horizontal="center" vertical="center" wrapText="1"/>
    </xf>
    <xf numFmtId="0" fontId="10" fillId="5" borderId="29" xfId="0" applyFont="1" applyFill="1" applyBorder="1" applyAlignment="1">
      <alignment horizontal="center" vertical="center" wrapText="1"/>
    </xf>
    <xf numFmtId="0" fontId="10" fillId="5" borderId="30" xfId="0" applyFont="1" applyFill="1" applyBorder="1" applyAlignment="1">
      <alignment horizontal="center" vertical="center" wrapText="1"/>
    </xf>
    <xf numFmtId="0" fontId="15" fillId="5" borderId="22" xfId="0" applyFont="1" applyFill="1" applyBorder="1" applyAlignment="1">
      <alignment horizontal="right" vertical="center" wrapText="1"/>
    </xf>
    <xf numFmtId="0" fontId="0" fillId="0" borderId="0" xfId="0" applyBorder="1" applyAlignment="1">
      <alignment vertical="center"/>
    </xf>
    <xf numFmtId="0" fontId="12" fillId="0" borderId="0" xfId="0" applyFont="1" applyBorder="1" applyAlignment="1">
      <alignment horizontal="center" vertical="center"/>
    </xf>
    <xf numFmtId="0" fontId="4" fillId="0" borderId="0" xfId="0" applyFont="1" applyBorder="1" applyAlignment="1">
      <alignment horizontal="left" vertical="center" wrapText="1"/>
    </xf>
    <xf numFmtId="0" fontId="4" fillId="0" borderId="0" xfId="0" applyFont="1" applyBorder="1" applyAlignment="1">
      <alignment vertical="center" wrapText="1"/>
    </xf>
    <xf numFmtId="0" fontId="3" fillId="0" borderId="0" xfId="0" applyFont="1" applyBorder="1" applyAlignment="1">
      <alignment vertical="center" wrapText="1"/>
    </xf>
    <xf numFmtId="0" fontId="17" fillId="4" borderId="12" xfId="2" applyFont="1" applyBorder="1" applyAlignment="1">
      <alignment horizontal="center" vertical="center" wrapText="1"/>
    </xf>
    <xf numFmtId="0" fontId="17" fillId="4" borderId="33" xfId="2" applyFont="1" applyBorder="1" applyAlignment="1">
      <alignment horizontal="center" vertical="center" wrapText="1"/>
    </xf>
    <xf numFmtId="0" fontId="17" fillId="4" borderId="13" xfId="2" applyFont="1" applyBorder="1" applyAlignment="1">
      <alignment horizontal="center" vertical="center" wrapText="1"/>
    </xf>
    <xf numFmtId="0" fontId="17" fillId="4" borderId="32" xfId="2" applyFont="1" applyBorder="1" applyAlignment="1">
      <alignment horizontal="center" vertical="center" wrapText="1"/>
    </xf>
    <xf numFmtId="0" fontId="17" fillId="4" borderId="16" xfId="2" applyFont="1" applyBorder="1" applyAlignment="1">
      <alignment horizontal="center" vertical="center" wrapText="1"/>
    </xf>
    <xf numFmtId="0" fontId="1" fillId="5" borderId="14" xfId="0" applyFont="1" applyFill="1" applyBorder="1" applyAlignment="1">
      <alignment horizontal="left" vertical="top" wrapText="1"/>
    </xf>
    <xf numFmtId="0" fontId="1" fillId="5" borderId="15" xfId="0" applyFont="1" applyFill="1" applyBorder="1" applyAlignment="1">
      <alignment horizontal="left" vertical="top" wrapText="1"/>
    </xf>
    <xf numFmtId="0" fontId="1" fillId="5" borderId="16" xfId="0" applyFont="1" applyFill="1" applyBorder="1" applyAlignment="1">
      <alignment horizontal="left" vertical="top" wrapText="1"/>
    </xf>
    <xf numFmtId="0" fontId="1" fillId="5" borderId="6" xfId="0" applyFont="1" applyFill="1" applyBorder="1" applyAlignment="1">
      <alignment vertical="top" wrapText="1"/>
    </xf>
    <xf numFmtId="0" fontId="1" fillId="5" borderId="0" xfId="0" applyFont="1" applyFill="1" applyBorder="1" applyAlignment="1">
      <alignment vertical="top" wrapText="1"/>
    </xf>
    <xf numFmtId="0" fontId="1" fillId="5" borderId="8" xfId="0" applyFont="1" applyFill="1" applyBorder="1" applyAlignment="1">
      <alignment vertical="top" wrapText="1"/>
    </xf>
    <xf numFmtId="0" fontId="1" fillId="5" borderId="9" xfId="0" applyFont="1" applyFill="1" applyBorder="1" applyAlignment="1">
      <alignment vertical="top" wrapText="1"/>
    </xf>
    <xf numFmtId="0" fontId="1" fillId="5" borderId="27" xfId="0" applyFont="1" applyFill="1" applyBorder="1" applyAlignment="1">
      <alignment vertical="top" wrapText="1"/>
    </xf>
    <xf numFmtId="0" fontId="1" fillId="0" borderId="8" xfId="0" applyFont="1" applyFill="1" applyBorder="1" applyAlignment="1">
      <alignment horizontal="left" vertical="top" wrapText="1"/>
    </xf>
    <xf numFmtId="0" fontId="1" fillId="0" borderId="9" xfId="0" applyFont="1" applyFill="1" applyBorder="1" applyAlignment="1">
      <alignment horizontal="left" vertical="top" wrapText="1"/>
    </xf>
    <xf numFmtId="0" fontId="1" fillId="0" borderId="8" xfId="0" applyFont="1" applyFill="1" applyBorder="1" applyAlignment="1">
      <alignment vertical="top" wrapText="1"/>
    </xf>
    <xf numFmtId="0" fontId="1" fillId="0" borderId="6" xfId="0" applyFont="1" applyFill="1" applyBorder="1" applyAlignment="1">
      <alignment horizontal="left" vertical="top" wrapText="1"/>
    </xf>
    <xf numFmtId="0" fontId="1" fillId="0" borderId="0" xfId="0" applyFont="1" applyFill="1" applyBorder="1" applyAlignment="1">
      <alignment horizontal="left" vertical="top" wrapText="1"/>
    </xf>
    <xf numFmtId="0" fontId="1" fillId="0" borderId="19" xfId="0" applyFont="1" applyFill="1" applyBorder="1" applyAlignment="1">
      <alignment horizontal="left" vertical="top" wrapText="1"/>
    </xf>
    <xf numFmtId="0" fontId="1" fillId="0" borderId="9" xfId="0" applyFont="1" applyFill="1" applyBorder="1" applyAlignment="1">
      <alignment vertical="top" wrapText="1"/>
    </xf>
    <xf numFmtId="0" fontId="1" fillId="0" borderId="14" xfId="0" applyFont="1" applyFill="1" applyBorder="1" applyAlignment="1">
      <alignment horizontal="left" vertical="top" wrapText="1"/>
    </xf>
    <xf numFmtId="0" fontId="1" fillId="0" borderId="15" xfId="0" applyFont="1" applyFill="1" applyBorder="1" applyAlignment="1">
      <alignment horizontal="left" vertical="top" wrapText="1"/>
    </xf>
    <xf numFmtId="0" fontId="1" fillId="0" borderId="16" xfId="0" applyFont="1" applyFill="1" applyBorder="1" applyAlignment="1">
      <alignment horizontal="left" vertical="top" wrapText="1"/>
    </xf>
    <xf numFmtId="0" fontId="1" fillId="5" borderId="6" xfId="0" applyFont="1" applyFill="1" applyBorder="1" applyAlignment="1">
      <alignment horizontal="left" vertical="top" wrapText="1"/>
    </xf>
    <xf numFmtId="0" fontId="1" fillId="5" borderId="9" xfId="0" applyFont="1" applyFill="1" applyBorder="1" applyAlignment="1">
      <alignment horizontal="left" vertical="top" wrapText="1"/>
    </xf>
    <xf numFmtId="0" fontId="1" fillId="5" borderId="7" xfId="0" applyFont="1" applyFill="1" applyBorder="1" applyAlignment="1">
      <alignment horizontal="left" vertical="top" wrapText="1"/>
    </xf>
    <xf numFmtId="0" fontId="1" fillId="5" borderId="0" xfId="0" applyFont="1" applyFill="1" applyBorder="1" applyAlignment="1">
      <alignment horizontal="left" vertical="top" wrapText="1"/>
    </xf>
    <xf numFmtId="0" fontId="1" fillId="5" borderId="19" xfId="0" applyFont="1" applyFill="1" applyBorder="1" applyAlignment="1">
      <alignment horizontal="left" vertical="top" wrapText="1"/>
    </xf>
    <xf numFmtId="0" fontId="1" fillId="5" borderId="27" xfId="0" applyFont="1" applyFill="1" applyBorder="1" applyAlignment="1">
      <alignment horizontal="left" vertical="top" wrapText="1"/>
    </xf>
    <xf numFmtId="0" fontId="1" fillId="5" borderId="7" xfId="0" applyFont="1" applyFill="1" applyBorder="1" applyAlignment="1">
      <alignment vertical="top" wrapText="1"/>
    </xf>
    <xf numFmtId="0" fontId="1" fillId="5" borderId="14" xfId="0" applyFont="1" applyFill="1" applyBorder="1" applyAlignment="1">
      <alignment vertical="top" wrapText="1"/>
    </xf>
    <xf numFmtId="0" fontId="1" fillId="5" borderId="16" xfId="0" applyFont="1" applyFill="1" applyBorder="1" applyAlignment="1">
      <alignment vertical="top" wrapText="1"/>
    </xf>
    <xf numFmtId="0" fontId="2" fillId="0" borderId="14" xfId="0" applyFont="1" applyFill="1" applyBorder="1" applyAlignment="1">
      <alignment horizontal="left" vertical="top" wrapText="1"/>
    </xf>
    <xf numFmtId="0" fontId="2" fillId="0" borderId="15" xfId="0" applyFont="1" applyFill="1" applyBorder="1" applyAlignment="1">
      <alignment horizontal="left" vertical="top" wrapText="1"/>
    </xf>
    <xf numFmtId="0" fontId="2" fillId="0" borderId="16" xfId="0" applyFont="1" applyFill="1" applyBorder="1" applyAlignment="1">
      <alignment horizontal="left" vertical="top" wrapText="1"/>
    </xf>
    <xf numFmtId="0" fontId="2" fillId="5" borderId="6" xfId="0" applyFont="1" applyFill="1" applyBorder="1" applyAlignment="1">
      <alignment horizontal="left" vertical="top" wrapText="1"/>
    </xf>
    <xf numFmtId="0" fontId="2" fillId="5" borderId="7" xfId="0" applyFont="1" applyFill="1" applyBorder="1" applyAlignment="1">
      <alignment horizontal="left" vertical="top" wrapText="1"/>
    </xf>
    <xf numFmtId="0" fontId="15" fillId="5" borderId="6" xfId="0" applyFont="1" applyFill="1" applyBorder="1" applyAlignment="1">
      <alignment horizontal="left" vertical="top" wrapText="1"/>
    </xf>
    <xf numFmtId="0" fontId="15" fillId="5" borderId="7" xfId="0" applyFont="1" applyFill="1" applyBorder="1" applyAlignment="1">
      <alignment horizontal="left" vertical="top" wrapText="1"/>
    </xf>
    <xf numFmtId="0" fontId="2" fillId="5" borderId="8" xfId="0" applyFont="1" applyFill="1" applyBorder="1" applyAlignment="1">
      <alignment horizontal="left" vertical="top" wrapText="1"/>
    </xf>
    <xf numFmtId="0" fontId="2" fillId="5" borderId="27" xfId="0" applyFont="1" applyFill="1" applyBorder="1" applyAlignment="1">
      <alignment horizontal="left" vertical="top" wrapText="1"/>
    </xf>
    <xf numFmtId="0" fontId="1" fillId="5" borderId="15" xfId="0" applyFont="1" applyFill="1" applyBorder="1" applyAlignment="1">
      <alignment vertical="top" wrapText="1"/>
    </xf>
    <xf numFmtId="0" fontId="2" fillId="5" borderId="14" xfId="0" applyFont="1" applyFill="1" applyBorder="1" applyAlignment="1">
      <alignment horizontal="left" vertical="top" wrapText="1"/>
    </xf>
    <xf numFmtId="0" fontId="2" fillId="5" borderId="15" xfId="0" applyFont="1" applyFill="1" applyBorder="1" applyAlignment="1">
      <alignment horizontal="left" vertical="top" wrapText="1"/>
    </xf>
    <xf numFmtId="0" fontId="2" fillId="5" borderId="16" xfId="0" applyFont="1" applyFill="1" applyBorder="1" applyAlignment="1">
      <alignment horizontal="left" vertical="top" wrapText="1"/>
    </xf>
    <xf numFmtId="0" fontId="0" fillId="0" borderId="5" xfId="0" applyBorder="1"/>
    <xf numFmtId="0" fontId="0" fillId="0" borderId="5" xfId="0" applyBorder="1" applyAlignment="1">
      <alignment wrapText="1"/>
    </xf>
    <xf numFmtId="0" fontId="1" fillId="5" borderId="8" xfId="0" applyFont="1" applyFill="1" applyBorder="1" applyAlignment="1">
      <alignment horizontal="right" vertical="center" wrapText="1"/>
    </xf>
    <xf numFmtId="0" fontId="1" fillId="5" borderId="8" xfId="0" applyFont="1" applyFill="1" applyBorder="1" applyAlignment="1">
      <alignment vertical="center" wrapText="1"/>
    </xf>
    <xf numFmtId="0" fontId="1" fillId="5" borderId="10" xfId="0" applyFont="1" applyFill="1" applyBorder="1" applyAlignment="1">
      <alignment vertical="center" wrapText="1"/>
    </xf>
    <xf numFmtId="0" fontId="2" fillId="5" borderId="8" xfId="0" applyFont="1" applyFill="1" applyBorder="1" applyAlignment="1">
      <alignment vertical="center" wrapText="1"/>
    </xf>
    <xf numFmtId="0" fontId="2" fillId="5" borderId="10" xfId="0" applyFont="1" applyFill="1" applyBorder="1" applyAlignment="1">
      <alignment vertical="center" wrapText="1"/>
    </xf>
    <xf numFmtId="0" fontId="2" fillId="5" borderId="8" xfId="0" applyFont="1" applyFill="1" applyBorder="1" applyAlignment="1">
      <alignment horizontal="center" vertical="center" wrapText="1"/>
    </xf>
    <xf numFmtId="0" fontId="15" fillId="5" borderId="10" xfId="0" applyFont="1" applyFill="1" applyBorder="1" applyAlignment="1">
      <alignment vertical="center" wrapText="1"/>
    </xf>
    <xf numFmtId="0" fontId="14" fillId="5" borderId="1" xfId="0" applyFont="1" applyFill="1" applyBorder="1" applyAlignment="1">
      <alignment horizontal="center" vertical="center" wrapText="1"/>
    </xf>
    <xf numFmtId="0" fontId="1" fillId="5" borderId="0" xfId="0" applyFont="1" applyFill="1" applyBorder="1" applyAlignment="1">
      <alignment horizontal="right" vertical="center" wrapText="1"/>
    </xf>
    <xf numFmtId="0" fontId="14" fillId="5" borderId="3" xfId="0" applyFont="1" applyFill="1" applyBorder="1" applyAlignment="1">
      <alignment horizontal="center" vertical="center" wrapText="1"/>
    </xf>
    <xf numFmtId="0" fontId="2" fillId="5" borderId="8" xfId="0" applyFont="1" applyFill="1" applyBorder="1" applyAlignment="1">
      <alignment horizontal="right" vertical="top" wrapText="1"/>
    </xf>
    <xf numFmtId="0" fontId="16" fillId="3" borderId="27" xfId="1" applyBorder="1" applyAlignment="1">
      <alignment horizontal="center" vertical="top" wrapText="1"/>
    </xf>
    <xf numFmtId="0" fontId="1" fillId="5" borderId="18" xfId="0" applyFont="1" applyFill="1" applyBorder="1" applyAlignment="1">
      <alignment horizontal="right" vertical="center" wrapText="1"/>
    </xf>
    <xf numFmtId="0" fontId="2" fillId="0" borderId="22" xfId="0" applyFont="1" applyFill="1" applyBorder="1" applyAlignment="1">
      <alignment vertical="center" wrapText="1"/>
    </xf>
    <xf numFmtId="0" fontId="1" fillId="5" borderId="0" xfId="0" applyFont="1" applyFill="1" applyBorder="1" applyAlignment="1">
      <alignment vertical="center" wrapText="1"/>
    </xf>
    <xf numFmtId="0" fontId="2" fillId="5" borderId="22" xfId="0" applyFont="1" applyFill="1" applyBorder="1" applyAlignment="1">
      <alignment vertical="center" wrapText="1"/>
    </xf>
    <xf numFmtId="0" fontId="2" fillId="5" borderId="0" xfId="0" applyFont="1" applyFill="1" applyBorder="1" applyAlignment="1">
      <alignment horizontal="right" vertical="center" wrapText="1"/>
    </xf>
    <xf numFmtId="0" fontId="2" fillId="5" borderId="24" xfId="0" applyFont="1" applyFill="1" applyBorder="1" applyAlignment="1">
      <alignment vertical="center" wrapText="1"/>
    </xf>
    <xf numFmtId="0" fontId="2" fillId="0" borderId="11" xfId="0" applyFont="1" applyFill="1" applyBorder="1" applyAlignment="1">
      <alignment horizontal="right" vertical="center" wrapText="1"/>
    </xf>
    <xf numFmtId="0" fontId="2" fillId="0" borderId="23" xfId="0" applyFont="1" applyFill="1" applyBorder="1" applyAlignment="1">
      <alignment horizontal="right" vertical="center" wrapText="1"/>
    </xf>
    <xf numFmtId="0" fontId="1" fillId="5" borderId="11" xfId="0" applyFont="1" applyFill="1" applyBorder="1" applyAlignment="1">
      <alignment horizontal="right" vertical="center" wrapText="1"/>
    </xf>
    <xf numFmtId="0" fontId="1" fillId="0" borderId="14" xfId="0" applyFont="1" applyFill="1" applyBorder="1" applyAlignment="1">
      <alignment horizontal="center" vertical="top" wrapText="1"/>
    </xf>
    <xf numFmtId="0" fontId="1" fillId="0" borderId="15" xfId="0" applyFont="1" applyFill="1" applyBorder="1" applyAlignment="1">
      <alignment horizontal="center" vertical="top" wrapText="1"/>
    </xf>
    <xf numFmtId="0" fontId="1" fillId="0" borderId="14" xfId="0" applyFont="1" applyFill="1" applyBorder="1" applyAlignment="1">
      <alignment vertical="top" wrapText="1"/>
    </xf>
    <xf numFmtId="0" fontId="1" fillId="0" borderId="16" xfId="0" applyFont="1" applyFill="1" applyBorder="1" applyAlignment="1">
      <alignment vertical="top" wrapText="1"/>
    </xf>
    <xf numFmtId="0" fontId="2" fillId="0" borderId="25" xfId="0" applyFont="1" applyFill="1" applyBorder="1" applyAlignment="1">
      <alignment horizontal="right" vertical="center" wrapText="1"/>
    </xf>
    <xf numFmtId="0" fontId="1" fillId="5" borderId="24" xfId="0" applyFont="1" applyFill="1" applyBorder="1" applyAlignment="1">
      <alignment horizontal="right" vertical="center" wrapText="1"/>
    </xf>
    <xf numFmtId="0" fontId="1" fillId="5" borderId="25" xfId="0" applyFont="1" applyFill="1" applyBorder="1" applyAlignment="1">
      <alignment horizontal="right" vertical="center" wrapText="1"/>
    </xf>
    <xf numFmtId="0" fontId="1" fillId="5" borderId="27" xfId="0" applyFont="1" applyFill="1" applyBorder="1" applyAlignment="1">
      <alignment horizontal="right" vertical="center" wrapText="1"/>
    </xf>
    <xf numFmtId="0" fontId="1" fillId="0" borderId="27" xfId="0" applyFont="1" applyFill="1" applyBorder="1" applyAlignment="1">
      <alignment horizontal="left" vertical="top" wrapText="1"/>
    </xf>
    <xf numFmtId="0" fontId="2" fillId="0" borderId="18" xfId="0" applyFont="1" applyFill="1" applyBorder="1" applyAlignment="1">
      <alignment horizontal="right" vertical="center" wrapText="1"/>
    </xf>
    <xf numFmtId="0" fontId="1" fillId="5" borderId="23" xfId="0" applyFont="1" applyFill="1" applyBorder="1" applyAlignment="1">
      <alignment horizontal="right" vertical="center" wrapText="1"/>
    </xf>
    <xf numFmtId="49" fontId="16" fillId="3" borderId="9" xfId="1" applyNumberFormat="1" applyBorder="1" applyAlignment="1">
      <alignment horizontal="center" vertical="center" wrapText="1"/>
    </xf>
    <xf numFmtId="0" fontId="16" fillId="3" borderId="0" xfId="1" applyBorder="1" applyAlignment="1">
      <alignment horizontal="left" vertical="center"/>
    </xf>
  </cellXfs>
  <cellStyles count="3">
    <cellStyle name="Accent1" xfId="2" builtinId="29"/>
    <cellStyle name="Calculation" xfId="1" builtinId="22" customBuiltin="1"/>
    <cellStyle name="Normal" xfId="0" builtinId="0"/>
  </cellStyles>
  <dxfs count="0"/>
  <tableStyles count="0" defaultTableStyle="TableStyleMedium2" defaultPivotStyle="PivotStyleLight16"/>
  <colors>
    <mruColors>
      <color rgb="FFE6F0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Sheet1!$D$2</c:f>
              <c:strCache>
                <c:ptCount val="1"/>
                <c:pt idx="0">
                  <c:v>Legal and institutional set up</c:v>
                </c:pt>
              </c:strCache>
            </c:strRef>
          </c:tx>
          <c:spPr>
            <a:solidFill>
              <a:schemeClr val="accent1"/>
            </a:solidFill>
            <a:ln>
              <a:noFill/>
            </a:ln>
            <a:effectLst/>
          </c:spPr>
          <c:invertIfNegative val="0"/>
          <c:cat>
            <c:multiLvlStrRef>
              <c:f>Sheet1!$B$3:$C$14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 (EWS)</c:v>
                  </c:pt>
                  <c:pt idx="7">
                    <c:v>Emergency Preparedness and Response (EP&amp;R)</c:v>
                  </c:pt>
                  <c:pt idx="8">
                    <c:v>Adaptive Social Protection (ASP)</c:v>
                  </c:pt>
                  <c:pt idx="9">
                    <c:v>Fiscal risk management</c:v>
                  </c:pt>
                  <c:pt idx="10">
                    <c:v>Disaster Risk Financing (DRF) strategies and instruments</c:v>
                  </c:pt>
                  <c:pt idx="11">
                    <c:v>Resilient Reconstruction</c:v>
                  </c:pt>
                </c:lvl>
                <c:lvl>
                  <c:pt idx="0">
                    <c:v>Legal and Institutional DRM Framework</c:v>
                  </c:pt>
                  <c:pt idx="2">
                    <c:v>Risk Identification</c:v>
                  </c:pt>
                  <c:pt idx="3">
                    <c:v>Risk Reduction</c:v>
                  </c:pt>
                  <c:pt idx="6">
                    <c:v>Preparedness</c:v>
                  </c:pt>
                  <c:pt idx="9">
                    <c:v>Financial Protection</c:v>
                  </c:pt>
                  <c:pt idx="11">
                    <c:v>Resilient Reconstruction</c:v>
                  </c:pt>
                </c:lvl>
              </c:multiLvlStrCache>
            </c:multiLvlStrRef>
          </c:cat>
          <c:val>
            <c:numRef>
              <c:f>Sheet1!$D$3:$D$14</c:f>
              <c:numCache>
                <c:formatCode>General</c:formatCode>
                <c:ptCount val="12"/>
                <c:pt idx="0">
                  <c:v>1</c:v>
                </c:pt>
                <c:pt idx="1">
                  <c:v>1</c:v>
                </c:pt>
                <c:pt idx="2">
                  <c:v>1</c:v>
                </c:pt>
                <c:pt idx="3">
                  <c:v>1</c:v>
                </c:pt>
                <c:pt idx="4">
                  <c:v>1</c:v>
                </c:pt>
                <c:pt idx="5">
                  <c:v>1</c:v>
                </c:pt>
                <c:pt idx="6">
                  <c:v>1</c:v>
                </c:pt>
                <c:pt idx="7">
                  <c:v>1</c:v>
                </c:pt>
                <c:pt idx="8">
                  <c:v>0</c:v>
                </c:pt>
                <c:pt idx="9">
                  <c:v>0</c:v>
                </c:pt>
                <c:pt idx="10">
                  <c:v>1</c:v>
                </c:pt>
                <c:pt idx="11">
                  <c:v>1</c:v>
                </c:pt>
              </c:numCache>
            </c:numRef>
          </c:val>
          <c:extLst>
            <c:ext xmlns:c16="http://schemas.microsoft.com/office/drawing/2014/chart" uri="{C3380CC4-5D6E-409C-BE32-E72D297353CC}">
              <c16:uniqueId val="{00000000-0519-457C-87EF-F4C2412E5135}"/>
            </c:ext>
          </c:extLst>
        </c:ser>
        <c:ser>
          <c:idx val="1"/>
          <c:order val="1"/>
          <c:tx>
            <c:strRef>
              <c:f>Sheet1!$E$2</c:f>
              <c:strCache>
                <c:ptCount val="1"/>
                <c:pt idx="0">
                  <c:v>Intermediary DRM outputs</c:v>
                </c:pt>
              </c:strCache>
            </c:strRef>
          </c:tx>
          <c:spPr>
            <a:solidFill>
              <a:schemeClr val="accent2"/>
            </a:solidFill>
            <a:ln>
              <a:noFill/>
            </a:ln>
            <a:effectLst/>
          </c:spPr>
          <c:invertIfNegative val="0"/>
          <c:cat>
            <c:multiLvlStrRef>
              <c:f>Sheet1!$B$3:$C$14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 (EWS)</c:v>
                  </c:pt>
                  <c:pt idx="7">
                    <c:v>Emergency Preparedness and Response (EP&amp;R)</c:v>
                  </c:pt>
                  <c:pt idx="8">
                    <c:v>Adaptive Social Protection (ASP)</c:v>
                  </c:pt>
                  <c:pt idx="9">
                    <c:v>Fiscal risk management</c:v>
                  </c:pt>
                  <c:pt idx="10">
                    <c:v>Disaster Risk Financing (DRF) strategies and instruments</c:v>
                  </c:pt>
                  <c:pt idx="11">
                    <c:v>Resilient Reconstruction</c:v>
                  </c:pt>
                </c:lvl>
                <c:lvl>
                  <c:pt idx="0">
                    <c:v>Legal and Institutional DRM Framework</c:v>
                  </c:pt>
                  <c:pt idx="2">
                    <c:v>Risk Identification</c:v>
                  </c:pt>
                  <c:pt idx="3">
                    <c:v>Risk Reduction</c:v>
                  </c:pt>
                  <c:pt idx="6">
                    <c:v>Preparedness</c:v>
                  </c:pt>
                  <c:pt idx="9">
                    <c:v>Financial Protection</c:v>
                  </c:pt>
                  <c:pt idx="11">
                    <c:v>Resilient Reconstruction</c:v>
                  </c:pt>
                </c:lvl>
              </c:multiLvlStrCache>
            </c:multiLvlStrRef>
          </c:cat>
          <c:val>
            <c:numRef>
              <c:f>Sheet1!$E$3:$E$14</c:f>
              <c:numCache>
                <c:formatCode>General</c:formatCode>
                <c:ptCount val="12"/>
                <c:pt idx="0">
                  <c:v>1</c:v>
                </c:pt>
                <c:pt idx="1">
                  <c:v>0</c:v>
                </c:pt>
                <c:pt idx="2">
                  <c:v>0.5</c:v>
                </c:pt>
                <c:pt idx="3">
                  <c:v>1</c:v>
                </c:pt>
                <c:pt idx="4">
                  <c:v>1</c:v>
                </c:pt>
                <c:pt idx="5">
                  <c:v>0</c:v>
                </c:pt>
                <c:pt idx="6">
                  <c:v>1</c:v>
                </c:pt>
                <c:pt idx="7">
                  <c:v>1</c:v>
                </c:pt>
                <c:pt idx="8">
                  <c:v>0</c:v>
                </c:pt>
                <c:pt idx="9">
                  <c:v>1</c:v>
                </c:pt>
                <c:pt idx="10">
                  <c:v>0</c:v>
                </c:pt>
                <c:pt idx="11">
                  <c:v>0</c:v>
                </c:pt>
              </c:numCache>
            </c:numRef>
          </c:val>
          <c:extLst>
            <c:ext xmlns:c16="http://schemas.microsoft.com/office/drawing/2014/chart" uri="{C3380CC4-5D6E-409C-BE32-E72D297353CC}">
              <c16:uniqueId val="{00000001-0519-457C-87EF-F4C2412E5135}"/>
            </c:ext>
          </c:extLst>
        </c:ser>
        <c:ser>
          <c:idx val="2"/>
          <c:order val="2"/>
          <c:tx>
            <c:strRef>
              <c:f>Sheet1!$F$2</c:f>
              <c:strCache>
                <c:ptCount val="1"/>
                <c:pt idx="0">
                  <c:v>Key DRM achievements</c:v>
                </c:pt>
              </c:strCache>
            </c:strRef>
          </c:tx>
          <c:spPr>
            <a:solidFill>
              <a:schemeClr val="accent3"/>
            </a:solidFill>
            <a:ln>
              <a:noFill/>
            </a:ln>
            <a:effectLst/>
          </c:spPr>
          <c:invertIfNegative val="0"/>
          <c:cat>
            <c:multiLvlStrRef>
              <c:f>Sheet1!$B$3:$C$14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 (EWS)</c:v>
                  </c:pt>
                  <c:pt idx="7">
                    <c:v>Emergency Preparedness and Response (EP&amp;R)</c:v>
                  </c:pt>
                  <c:pt idx="8">
                    <c:v>Adaptive Social Protection (ASP)</c:v>
                  </c:pt>
                  <c:pt idx="9">
                    <c:v>Fiscal risk management</c:v>
                  </c:pt>
                  <c:pt idx="10">
                    <c:v>Disaster Risk Financing (DRF) strategies and instruments</c:v>
                  </c:pt>
                  <c:pt idx="11">
                    <c:v>Resilient Reconstruction</c:v>
                  </c:pt>
                </c:lvl>
                <c:lvl>
                  <c:pt idx="0">
                    <c:v>Legal and Institutional DRM Framework</c:v>
                  </c:pt>
                  <c:pt idx="2">
                    <c:v>Risk Identification</c:v>
                  </c:pt>
                  <c:pt idx="3">
                    <c:v>Risk Reduction</c:v>
                  </c:pt>
                  <c:pt idx="6">
                    <c:v>Preparedness</c:v>
                  </c:pt>
                  <c:pt idx="9">
                    <c:v>Financial Protection</c:v>
                  </c:pt>
                  <c:pt idx="11">
                    <c:v>Resilient Reconstruction</c:v>
                  </c:pt>
                </c:lvl>
              </c:multiLvlStrCache>
            </c:multiLvlStrRef>
          </c:cat>
          <c:val>
            <c:numRef>
              <c:f>Sheet1!$F$3:$F$14</c:f>
              <c:numCache>
                <c:formatCode>General</c:formatCode>
                <c:ptCount val="12"/>
                <c:pt idx="0">
                  <c:v>1</c:v>
                </c:pt>
                <c:pt idx="1">
                  <c:v>1</c:v>
                </c:pt>
                <c:pt idx="2">
                  <c:v>1</c:v>
                </c:pt>
                <c:pt idx="3">
                  <c:v>1</c:v>
                </c:pt>
                <c:pt idx="4">
                  <c:v>1</c:v>
                </c:pt>
                <c:pt idx="5">
                  <c:v>0</c:v>
                </c:pt>
                <c:pt idx="6">
                  <c:v>1</c:v>
                </c:pt>
                <c:pt idx="7">
                  <c:v>0.5</c:v>
                </c:pt>
                <c:pt idx="8">
                  <c:v>0</c:v>
                </c:pt>
                <c:pt idx="9">
                  <c:v>1</c:v>
                </c:pt>
                <c:pt idx="10">
                  <c:v>0</c:v>
                </c:pt>
                <c:pt idx="11">
                  <c:v>1</c:v>
                </c:pt>
              </c:numCache>
            </c:numRef>
          </c:val>
          <c:extLst>
            <c:ext xmlns:c16="http://schemas.microsoft.com/office/drawing/2014/chart" uri="{C3380CC4-5D6E-409C-BE32-E72D297353CC}">
              <c16:uniqueId val="{00000002-0519-457C-87EF-F4C2412E5135}"/>
            </c:ext>
          </c:extLst>
        </c:ser>
        <c:ser>
          <c:idx val="3"/>
          <c:order val="3"/>
          <c:tx>
            <c:strRef>
              <c:f>Sheet1!$G$2</c:f>
              <c:strCache>
                <c:ptCount val="1"/>
                <c:pt idx="0">
                  <c:v>Policy enablers</c:v>
                </c:pt>
              </c:strCache>
            </c:strRef>
          </c:tx>
          <c:spPr>
            <a:solidFill>
              <a:schemeClr val="accent4"/>
            </a:solidFill>
            <a:ln>
              <a:noFill/>
            </a:ln>
            <a:effectLst/>
          </c:spPr>
          <c:invertIfNegative val="0"/>
          <c:cat>
            <c:multiLvlStrRef>
              <c:f>Sheet1!$B$3:$C$14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 (EWS)</c:v>
                  </c:pt>
                  <c:pt idx="7">
                    <c:v>Emergency Preparedness and Response (EP&amp;R)</c:v>
                  </c:pt>
                  <c:pt idx="8">
                    <c:v>Adaptive Social Protection (ASP)</c:v>
                  </c:pt>
                  <c:pt idx="9">
                    <c:v>Fiscal risk management</c:v>
                  </c:pt>
                  <c:pt idx="10">
                    <c:v>Disaster Risk Financing (DRF) strategies and instruments</c:v>
                  </c:pt>
                  <c:pt idx="11">
                    <c:v>Resilient Reconstruction</c:v>
                  </c:pt>
                </c:lvl>
                <c:lvl>
                  <c:pt idx="0">
                    <c:v>Legal and Institutional DRM Framework</c:v>
                  </c:pt>
                  <c:pt idx="2">
                    <c:v>Risk Identification</c:v>
                  </c:pt>
                  <c:pt idx="3">
                    <c:v>Risk Reduction</c:v>
                  </c:pt>
                  <c:pt idx="6">
                    <c:v>Preparedness</c:v>
                  </c:pt>
                  <c:pt idx="9">
                    <c:v>Financial Protection</c:v>
                  </c:pt>
                  <c:pt idx="11">
                    <c:v>Resilient Reconstruction</c:v>
                  </c:pt>
                </c:lvl>
              </c:multiLvlStrCache>
            </c:multiLvlStrRef>
          </c:cat>
          <c:val>
            <c:numRef>
              <c:f>Sheet1!$G$3:$G$14</c:f>
              <c:numCache>
                <c:formatCode>General</c:formatCode>
                <c:ptCount val="12"/>
                <c:pt idx="0">
                  <c:v>0.33</c:v>
                </c:pt>
                <c:pt idx="1">
                  <c:v>0</c:v>
                </c:pt>
                <c:pt idx="2">
                  <c:v>1</c:v>
                </c:pt>
                <c:pt idx="3">
                  <c:v>0.5</c:v>
                </c:pt>
                <c:pt idx="4">
                  <c:v>0</c:v>
                </c:pt>
                <c:pt idx="5">
                  <c:v>0</c:v>
                </c:pt>
                <c:pt idx="6">
                  <c:v>1</c:v>
                </c:pt>
                <c:pt idx="7">
                  <c:v>1</c:v>
                </c:pt>
                <c:pt idx="8">
                  <c:v>0</c:v>
                </c:pt>
                <c:pt idx="9">
                  <c:v>1</c:v>
                </c:pt>
                <c:pt idx="10">
                  <c:v>1</c:v>
                </c:pt>
                <c:pt idx="11">
                  <c:v>0</c:v>
                </c:pt>
              </c:numCache>
            </c:numRef>
          </c:val>
          <c:extLst>
            <c:ext xmlns:c16="http://schemas.microsoft.com/office/drawing/2014/chart" uri="{C3380CC4-5D6E-409C-BE32-E72D297353CC}">
              <c16:uniqueId val="{00000003-0519-457C-87EF-F4C2412E5135}"/>
            </c:ext>
          </c:extLst>
        </c:ser>
        <c:dLbls>
          <c:showLegendKey val="0"/>
          <c:showVal val="0"/>
          <c:showCatName val="0"/>
          <c:showSerName val="0"/>
          <c:showPercent val="0"/>
          <c:showBubbleSize val="0"/>
        </c:dLbls>
        <c:gapWidth val="62"/>
        <c:overlap val="100"/>
        <c:axId val="1725670432"/>
        <c:axId val="1725671872"/>
      </c:barChart>
      <c:catAx>
        <c:axId val="1725670432"/>
        <c:scaling>
          <c:orientation val="minMax"/>
        </c:scaling>
        <c:delete val="0"/>
        <c:axPos val="l"/>
        <c:numFmt formatCode="@" sourceLinked="0"/>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25671872"/>
        <c:crosses val="autoZero"/>
        <c:auto val="1"/>
        <c:lblAlgn val="ctr"/>
        <c:lblOffset val="100"/>
        <c:noMultiLvlLbl val="0"/>
      </c:catAx>
      <c:valAx>
        <c:axId val="1725671872"/>
        <c:scaling>
          <c:orientation val="minMax"/>
          <c:max val="4"/>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5670432"/>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617220</xdr:colOff>
      <xdr:row>17</xdr:row>
      <xdr:rowOff>30480</xdr:rowOff>
    </xdr:from>
    <xdr:to>
      <xdr:col>7</xdr:col>
      <xdr:colOff>678180</xdr:colOff>
      <xdr:row>43</xdr:row>
      <xdr:rowOff>26670</xdr:rowOff>
    </xdr:to>
    <xdr:graphicFrame macro="">
      <xdr:nvGraphicFramePr>
        <xdr:cNvPr id="3" name="Chart 2">
          <a:extLst>
            <a:ext uri="{FF2B5EF4-FFF2-40B4-BE49-F238E27FC236}">
              <a16:creationId xmlns:a16="http://schemas.microsoft.com/office/drawing/2014/main" id="{8A60675D-D39B-5272-B9CF-B455BE63A8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33A1B-F2D0-419A-984D-979291E6494E}">
  <dimension ref="A5:AU49"/>
  <sheetViews>
    <sheetView showGridLines="0" zoomScale="70" zoomScaleNormal="70" workbookViewId="0">
      <selection activeCell="M13" sqref="M13:R25"/>
    </sheetView>
  </sheetViews>
  <sheetFormatPr defaultRowHeight="18" x14ac:dyDescent="0.35"/>
  <cols>
    <col min="1" max="1" width="3.6640625" style="13" customWidth="1"/>
    <col min="2" max="2" width="19.88671875" style="6" customWidth="1"/>
    <col min="3" max="3" width="21.109375" style="7" customWidth="1"/>
    <col min="4" max="4" width="41.5546875" customWidth="1"/>
    <col min="5" max="5" width="9.5546875" style="37" customWidth="1"/>
    <col min="6" max="6" width="54.5546875" customWidth="1"/>
    <col min="7" max="7" width="9.5546875" style="37" customWidth="1"/>
    <col min="8" max="8" width="65" customWidth="1"/>
    <col min="9" max="9" width="9.5546875" style="37" customWidth="1"/>
    <col min="10" max="10" width="55.5546875" customWidth="1"/>
    <col min="11" max="11" width="9.5546875" style="37" customWidth="1"/>
    <col min="12" max="12" width="38.88671875" customWidth="1"/>
    <col min="13" max="14" width="36.5546875" bestFit="1" customWidth="1"/>
    <col min="15" max="47" width="9.109375"/>
  </cols>
  <sheetData>
    <row r="5" spans="1:47" x14ac:dyDescent="0.35">
      <c r="B5" s="6" t="s">
        <v>84</v>
      </c>
    </row>
    <row r="6" spans="1:47" ht="18.600000000000001" thickBot="1" x14ac:dyDescent="0.4"/>
    <row r="7" spans="1:47" s="2" customFormat="1" ht="40.5" customHeight="1" thickBot="1" x14ac:dyDescent="0.35">
      <c r="A7"/>
      <c r="B7" s="64" t="s">
        <v>0</v>
      </c>
      <c r="C7" s="65" t="s">
        <v>1</v>
      </c>
      <c r="D7" s="66" t="s">
        <v>2</v>
      </c>
      <c r="E7" s="67"/>
      <c r="F7" s="66" t="s">
        <v>74</v>
      </c>
      <c r="G7" s="67"/>
      <c r="H7" s="66" t="s">
        <v>3</v>
      </c>
      <c r="I7" s="67"/>
      <c r="J7" s="66" t="s">
        <v>4</v>
      </c>
      <c r="K7" s="68"/>
      <c r="L7" s="60"/>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row>
    <row r="8" spans="1:47" s="1" customFormat="1" ht="69" customHeight="1" x14ac:dyDescent="0.3">
      <c r="A8" s="59"/>
      <c r="B8" s="39" t="s">
        <v>5</v>
      </c>
      <c r="C8" s="40" t="s">
        <v>6</v>
      </c>
      <c r="D8" s="94" t="s">
        <v>7</v>
      </c>
      <c r="E8" s="105"/>
      <c r="F8" s="94" t="s">
        <v>8</v>
      </c>
      <c r="G8" s="105"/>
      <c r="H8" s="106" t="s">
        <v>9</v>
      </c>
      <c r="I8" s="107"/>
      <c r="J8" s="106" t="s">
        <v>10</v>
      </c>
      <c r="K8" s="108"/>
      <c r="L8" s="38"/>
    </row>
    <row r="9" spans="1:47" s="1" customFormat="1" ht="18" customHeight="1" x14ac:dyDescent="0.3">
      <c r="A9" s="59"/>
      <c r="B9" s="41"/>
      <c r="C9" s="42"/>
      <c r="D9" s="111" t="s">
        <v>11</v>
      </c>
      <c r="E9" s="143" t="s">
        <v>81</v>
      </c>
      <c r="F9" s="43" t="s">
        <v>11</v>
      </c>
      <c r="G9" s="16" t="s">
        <v>81</v>
      </c>
      <c r="H9" s="43" t="s">
        <v>75</v>
      </c>
      <c r="I9" s="16" t="s">
        <v>81</v>
      </c>
      <c r="J9" s="43" t="s">
        <v>75</v>
      </c>
      <c r="K9" s="30" t="s">
        <v>82</v>
      </c>
      <c r="L9" s="38"/>
    </row>
    <row r="10" spans="1:47" s="1" customFormat="1" ht="18" customHeight="1" x14ac:dyDescent="0.3">
      <c r="A10" s="59"/>
      <c r="B10" s="41"/>
      <c r="C10" s="118"/>
      <c r="D10" s="114"/>
      <c r="E10" s="119"/>
      <c r="F10" s="114"/>
      <c r="G10" s="119"/>
      <c r="H10" s="116"/>
      <c r="I10" s="119"/>
      <c r="J10" s="43" t="s">
        <v>76</v>
      </c>
      <c r="K10" s="30" t="s">
        <v>82</v>
      </c>
      <c r="L10" s="38"/>
    </row>
    <row r="11" spans="1:47" s="1" customFormat="1" ht="18" customHeight="1" x14ac:dyDescent="0.3">
      <c r="A11" s="59"/>
      <c r="B11" s="41"/>
      <c r="C11" s="118"/>
      <c r="D11" s="114"/>
      <c r="E11" s="119"/>
      <c r="F11" s="114"/>
      <c r="G11" s="119"/>
      <c r="H11" s="50" t="s">
        <v>76</v>
      </c>
      <c r="I11" s="16" t="s">
        <v>81</v>
      </c>
      <c r="J11" s="121" t="s">
        <v>77</v>
      </c>
      <c r="K11" s="122" t="s">
        <v>81</v>
      </c>
      <c r="L11" s="38"/>
    </row>
    <row r="12" spans="1:47" s="1" customFormat="1" ht="18" customHeight="1" x14ac:dyDescent="0.3">
      <c r="A12" s="59"/>
      <c r="B12" s="41"/>
      <c r="C12" s="120"/>
      <c r="D12" s="115"/>
      <c r="E12" s="119"/>
      <c r="F12" s="115"/>
      <c r="G12" s="119"/>
      <c r="H12" s="117"/>
      <c r="I12" s="119"/>
      <c r="J12" s="117"/>
      <c r="K12" s="123"/>
      <c r="L12" s="38"/>
    </row>
    <row r="13" spans="1:47" ht="85.2" customHeight="1" x14ac:dyDescent="0.3">
      <c r="B13" s="41"/>
      <c r="C13" s="44" t="s">
        <v>12</v>
      </c>
      <c r="D13" s="103" t="s">
        <v>13</v>
      </c>
      <c r="E13" s="100"/>
      <c r="F13" s="99" t="s">
        <v>14</v>
      </c>
      <c r="G13" s="100"/>
      <c r="H13" s="101" t="s">
        <v>83</v>
      </c>
      <c r="I13" s="102"/>
      <c r="J13" s="103" t="s">
        <v>15</v>
      </c>
      <c r="K13" s="104"/>
      <c r="L13" s="61"/>
      <c r="N13" s="4"/>
    </row>
    <row r="14" spans="1:47" ht="18" customHeight="1" thickBot="1" x14ac:dyDescent="0.35">
      <c r="B14" s="45"/>
      <c r="C14" s="46"/>
      <c r="D14" s="47" t="s">
        <v>11</v>
      </c>
      <c r="E14" s="31" t="s">
        <v>81</v>
      </c>
      <c r="F14" s="47" t="s">
        <v>11</v>
      </c>
      <c r="G14" s="31" t="s">
        <v>82</v>
      </c>
      <c r="H14" s="47" t="s">
        <v>11</v>
      </c>
      <c r="I14" s="31" t="s">
        <v>81</v>
      </c>
      <c r="J14" s="47" t="s">
        <v>11</v>
      </c>
      <c r="K14" s="32" t="s">
        <v>82</v>
      </c>
      <c r="L14" s="62"/>
      <c r="N14" s="4"/>
    </row>
    <row r="15" spans="1:47" ht="74.25" customHeight="1" x14ac:dyDescent="0.3">
      <c r="B15" s="21" t="s">
        <v>16</v>
      </c>
      <c r="C15" s="25" t="s">
        <v>17</v>
      </c>
      <c r="D15" s="96" t="s">
        <v>69</v>
      </c>
      <c r="E15" s="97"/>
      <c r="F15" s="96" t="s">
        <v>18</v>
      </c>
      <c r="G15" s="97"/>
      <c r="H15" s="96" t="s">
        <v>70</v>
      </c>
      <c r="I15" s="97"/>
      <c r="J15" s="96" t="s">
        <v>19</v>
      </c>
      <c r="K15" s="98"/>
      <c r="L15" s="38"/>
    </row>
    <row r="16" spans="1:47" ht="18" customHeight="1" x14ac:dyDescent="0.3">
      <c r="B16" s="26"/>
      <c r="C16" s="8"/>
      <c r="D16" s="14" t="s">
        <v>11</v>
      </c>
      <c r="E16" s="16" t="s">
        <v>81</v>
      </c>
      <c r="F16" s="15" t="s">
        <v>75</v>
      </c>
      <c r="G16" s="16" t="s">
        <v>81</v>
      </c>
      <c r="H16" s="11" t="s">
        <v>11</v>
      </c>
      <c r="I16" s="16" t="s">
        <v>81</v>
      </c>
      <c r="J16" s="14" t="s">
        <v>11</v>
      </c>
      <c r="K16" s="30" t="s">
        <v>81</v>
      </c>
      <c r="L16" s="38"/>
    </row>
    <row r="17" spans="2:13" ht="18" customHeight="1" thickBot="1" x14ac:dyDescent="0.35">
      <c r="B17" s="23"/>
      <c r="C17" s="27"/>
      <c r="D17" s="19"/>
      <c r="E17" s="130"/>
      <c r="F17" s="20" t="s">
        <v>76</v>
      </c>
      <c r="G17" s="31" t="s">
        <v>82</v>
      </c>
      <c r="H17" s="124"/>
      <c r="I17" s="130"/>
      <c r="J17" s="124"/>
      <c r="K17" s="136"/>
      <c r="L17" s="38"/>
    </row>
    <row r="18" spans="2:13" ht="74.25" customHeight="1" x14ac:dyDescent="0.3">
      <c r="B18" s="39" t="s">
        <v>20</v>
      </c>
      <c r="C18" s="48" t="s">
        <v>21</v>
      </c>
      <c r="D18" s="69" t="s">
        <v>22</v>
      </c>
      <c r="E18" s="70"/>
      <c r="F18" s="69" t="s">
        <v>23</v>
      </c>
      <c r="G18" s="70"/>
      <c r="H18" s="69" t="s">
        <v>24</v>
      </c>
      <c r="I18" s="70"/>
      <c r="J18" s="94" t="s">
        <v>25</v>
      </c>
      <c r="K18" s="95"/>
      <c r="L18" s="38"/>
    </row>
    <row r="19" spans="2:13" ht="18" customHeight="1" x14ac:dyDescent="0.3">
      <c r="B19" s="41"/>
      <c r="C19" s="49"/>
      <c r="D19" s="43" t="s">
        <v>11</v>
      </c>
      <c r="E19" s="16" t="s">
        <v>81</v>
      </c>
      <c r="F19" s="43" t="s">
        <v>11</v>
      </c>
      <c r="G19" s="16" t="s">
        <v>81</v>
      </c>
      <c r="H19" s="43" t="s">
        <v>11</v>
      </c>
      <c r="I19" s="16" t="s">
        <v>81</v>
      </c>
      <c r="J19" s="50" t="s">
        <v>80</v>
      </c>
      <c r="K19" s="30" t="s">
        <v>82</v>
      </c>
      <c r="L19" s="38"/>
    </row>
    <row r="20" spans="2:13" ht="18" customHeight="1" x14ac:dyDescent="0.3">
      <c r="B20" s="41"/>
      <c r="C20" s="51"/>
      <c r="D20" s="115"/>
      <c r="E20" s="119"/>
      <c r="F20" s="115"/>
      <c r="G20" s="119"/>
      <c r="H20" s="115"/>
      <c r="I20" s="119"/>
      <c r="J20" s="52" t="s">
        <v>76</v>
      </c>
      <c r="K20" s="35" t="s">
        <v>81</v>
      </c>
      <c r="L20" s="38"/>
    </row>
    <row r="21" spans="2:13" ht="88.5" customHeight="1" x14ac:dyDescent="0.3">
      <c r="B21" s="41"/>
      <c r="C21" s="44" t="s">
        <v>26</v>
      </c>
      <c r="D21" s="72" t="s">
        <v>27</v>
      </c>
      <c r="E21" s="93"/>
      <c r="F21" s="72" t="s">
        <v>28</v>
      </c>
      <c r="G21" s="93"/>
      <c r="H21" s="72" t="s">
        <v>29</v>
      </c>
      <c r="I21" s="93"/>
      <c r="J21" s="87" t="s">
        <v>30</v>
      </c>
      <c r="K21" s="92"/>
      <c r="L21" s="38"/>
    </row>
    <row r="22" spans="2:13" ht="18" customHeight="1" x14ac:dyDescent="0.3">
      <c r="B22" s="41"/>
      <c r="C22" s="49"/>
      <c r="D22" s="43" t="s">
        <v>11</v>
      </c>
      <c r="E22" s="16" t="s">
        <v>81</v>
      </c>
      <c r="F22" s="43" t="s">
        <v>11</v>
      </c>
      <c r="G22" s="16" t="s">
        <v>81</v>
      </c>
      <c r="H22" s="43" t="s">
        <v>11</v>
      </c>
      <c r="I22" s="16" t="s">
        <v>81</v>
      </c>
      <c r="J22" s="50" t="s">
        <v>75</v>
      </c>
      <c r="K22" s="30" t="s">
        <v>82</v>
      </c>
      <c r="L22" s="38"/>
    </row>
    <row r="23" spans="2:13" ht="18" customHeight="1" x14ac:dyDescent="0.3">
      <c r="B23" s="41"/>
      <c r="C23" s="51"/>
      <c r="D23" s="115"/>
      <c r="E23" s="119"/>
      <c r="F23" s="115"/>
      <c r="G23" s="131"/>
      <c r="H23" s="115"/>
      <c r="I23" s="119"/>
      <c r="J23" s="52" t="s">
        <v>76</v>
      </c>
      <c r="K23" s="35" t="s">
        <v>82</v>
      </c>
      <c r="L23" s="38"/>
    </row>
    <row r="24" spans="2:13" ht="103.2" customHeight="1" x14ac:dyDescent="0.3">
      <c r="B24" s="41"/>
      <c r="C24" s="44" t="s">
        <v>31</v>
      </c>
      <c r="D24" s="87" t="s">
        <v>32</v>
      </c>
      <c r="E24" s="89"/>
      <c r="F24" s="90" t="s">
        <v>33</v>
      </c>
      <c r="G24" s="90"/>
      <c r="H24" s="87" t="s">
        <v>71</v>
      </c>
      <c r="I24" s="89"/>
      <c r="J24" s="87" t="s">
        <v>34</v>
      </c>
      <c r="K24" s="92"/>
      <c r="L24" s="38"/>
      <c r="M24" s="5"/>
    </row>
    <row r="25" spans="2:13" ht="18" customHeight="1" x14ac:dyDescent="0.3">
      <c r="B25" s="41"/>
      <c r="C25" s="49"/>
      <c r="D25" s="50" t="s">
        <v>75</v>
      </c>
      <c r="E25" s="16" t="s">
        <v>81</v>
      </c>
      <c r="F25" s="119" t="s">
        <v>11</v>
      </c>
      <c r="G25" s="16" t="s">
        <v>82</v>
      </c>
      <c r="H25" s="111" t="s">
        <v>11</v>
      </c>
      <c r="I25" s="16" t="s">
        <v>82</v>
      </c>
      <c r="J25" s="43" t="s">
        <v>11</v>
      </c>
      <c r="K25" s="30" t="s">
        <v>82</v>
      </c>
      <c r="L25" s="38"/>
      <c r="M25" s="5"/>
    </row>
    <row r="26" spans="2:13" ht="18" customHeight="1" x14ac:dyDescent="0.3">
      <c r="B26" s="41"/>
      <c r="C26" s="49"/>
      <c r="D26" s="50" t="s">
        <v>76</v>
      </c>
      <c r="E26" s="16" t="s">
        <v>81</v>
      </c>
      <c r="F26" s="125"/>
      <c r="G26" s="119"/>
      <c r="H26" s="112"/>
      <c r="I26" s="119"/>
      <c r="J26" s="114"/>
      <c r="K26" s="139"/>
      <c r="L26" s="38"/>
      <c r="M26" s="5"/>
    </row>
    <row r="27" spans="2:13" ht="18" customHeight="1" x14ac:dyDescent="0.3">
      <c r="B27" s="41"/>
      <c r="C27" s="49"/>
      <c r="D27" s="50" t="s">
        <v>78</v>
      </c>
      <c r="E27" s="16" t="s">
        <v>81</v>
      </c>
      <c r="F27" s="125"/>
      <c r="G27" s="119"/>
      <c r="H27" s="112"/>
      <c r="I27" s="119"/>
      <c r="J27" s="114"/>
      <c r="K27" s="139"/>
      <c r="L27" s="38"/>
      <c r="M27" s="5"/>
    </row>
    <row r="28" spans="2:13" ht="18" customHeight="1" x14ac:dyDescent="0.3">
      <c r="B28" s="41"/>
      <c r="C28" s="49"/>
      <c r="D28" s="52" t="s">
        <v>79</v>
      </c>
      <c r="E28" s="34" t="s">
        <v>81</v>
      </c>
      <c r="F28" s="125"/>
      <c r="G28" s="119"/>
      <c r="H28" s="113"/>
      <c r="I28" s="131"/>
      <c r="J28" s="115"/>
      <c r="K28" s="139"/>
      <c r="L28" s="38"/>
      <c r="M28" s="5"/>
    </row>
    <row r="29" spans="2:13" ht="64.5" customHeight="1" x14ac:dyDescent="0.3">
      <c r="B29" s="41"/>
      <c r="C29" s="49"/>
      <c r="D29" s="87" t="s">
        <v>35</v>
      </c>
      <c r="E29" s="88"/>
      <c r="F29" s="87" t="s">
        <v>36</v>
      </c>
      <c r="G29" s="89"/>
      <c r="H29" s="90" t="s">
        <v>37</v>
      </c>
      <c r="I29" s="90"/>
      <c r="J29" s="87" t="s">
        <v>38</v>
      </c>
      <c r="K29" s="91"/>
      <c r="L29" s="38"/>
    </row>
    <row r="30" spans="2:13" ht="18" customHeight="1" x14ac:dyDescent="0.3">
      <c r="B30" s="41"/>
      <c r="C30" s="49"/>
      <c r="D30" s="43" t="s">
        <v>11</v>
      </c>
      <c r="E30" s="16" t="s">
        <v>81</v>
      </c>
      <c r="F30" s="43" t="s">
        <v>11</v>
      </c>
      <c r="G30" s="16" t="s">
        <v>82</v>
      </c>
      <c r="H30" s="53" t="s">
        <v>75</v>
      </c>
      <c r="I30" s="16" t="s">
        <v>82</v>
      </c>
      <c r="J30" s="127" t="s">
        <v>11</v>
      </c>
      <c r="K30" s="30" t="s">
        <v>82</v>
      </c>
      <c r="L30" s="38"/>
    </row>
    <row r="31" spans="2:13" ht="18" customHeight="1" thickBot="1" x14ac:dyDescent="0.35">
      <c r="B31" s="45"/>
      <c r="C31" s="46"/>
      <c r="D31" s="126"/>
      <c r="E31" s="137"/>
      <c r="F31" s="126"/>
      <c r="G31" s="142"/>
      <c r="H31" s="54" t="s">
        <v>76</v>
      </c>
      <c r="I31" s="31" t="s">
        <v>82</v>
      </c>
      <c r="J31" s="126"/>
      <c r="K31" s="138"/>
      <c r="L31" s="38"/>
    </row>
    <row r="32" spans="2:13" ht="74.25" customHeight="1" x14ac:dyDescent="0.3">
      <c r="B32" s="21" t="s">
        <v>39</v>
      </c>
      <c r="C32" s="25" t="s">
        <v>40</v>
      </c>
      <c r="D32" s="84" t="s">
        <v>72</v>
      </c>
      <c r="E32" s="85"/>
      <c r="F32" s="84" t="s">
        <v>41</v>
      </c>
      <c r="G32" s="85"/>
      <c r="H32" s="84" t="s">
        <v>42</v>
      </c>
      <c r="I32" s="85"/>
      <c r="J32" s="84" t="s">
        <v>43</v>
      </c>
      <c r="K32" s="86"/>
      <c r="L32" s="63"/>
    </row>
    <row r="33" spans="2:13" ht="19.95" customHeight="1" thickBot="1" x14ac:dyDescent="0.35">
      <c r="B33" s="26"/>
      <c r="C33" s="9"/>
      <c r="D33" s="17" t="s">
        <v>11</v>
      </c>
      <c r="E33" s="34" t="s">
        <v>81</v>
      </c>
      <c r="F33" s="17" t="s">
        <v>11</v>
      </c>
      <c r="G33" s="34" t="s">
        <v>81</v>
      </c>
      <c r="H33" s="17" t="s">
        <v>11</v>
      </c>
      <c r="I33" s="34" t="s">
        <v>81</v>
      </c>
      <c r="J33" s="17" t="s">
        <v>11</v>
      </c>
      <c r="K33" s="32" t="s">
        <v>81</v>
      </c>
      <c r="L33" s="63"/>
    </row>
    <row r="34" spans="2:13" ht="63" customHeight="1" x14ac:dyDescent="0.3">
      <c r="B34" s="26"/>
      <c r="C34" s="10" t="s">
        <v>44</v>
      </c>
      <c r="D34" s="80" t="s">
        <v>45</v>
      </c>
      <c r="E34" s="78"/>
      <c r="F34" s="77" t="s">
        <v>46</v>
      </c>
      <c r="G34" s="78"/>
      <c r="H34" s="79" t="s">
        <v>73</v>
      </c>
      <c r="I34" s="83"/>
      <c r="J34" s="80" t="s">
        <v>47</v>
      </c>
      <c r="K34" s="82"/>
      <c r="L34" s="59"/>
      <c r="M34" s="5"/>
    </row>
    <row r="35" spans="2:13" ht="18" customHeight="1" x14ac:dyDescent="0.3">
      <c r="B35" s="26"/>
      <c r="C35" s="8"/>
      <c r="D35" s="18" t="s">
        <v>11</v>
      </c>
      <c r="E35" s="16" t="s">
        <v>81</v>
      </c>
      <c r="F35" s="18" t="s">
        <v>11</v>
      </c>
      <c r="G35" s="16" t="s">
        <v>81</v>
      </c>
      <c r="H35" s="18" t="s">
        <v>80</v>
      </c>
      <c r="I35" s="16" t="s">
        <v>82</v>
      </c>
      <c r="J35" s="12" t="s">
        <v>11</v>
      </c>
      <c r="K35" s="30" t="s">
        <v>81</v>
      </c>
      <c r="L35" s="59"/>
      <c r="M35" s="5"/>
    </row>
    <row r="36" spans="2:13" ht="18" customHeight="1" x14ac:dyDescent="0.3">
      <c r="B36" s="26"/>
      <c r="C36" s="9"/>
      <c r="D36" s="33"/>
      <c r="E36" s="129"/>
      <c r="F36" s="33"/>
      <c r="G36" s="129"/>
      <c r="H36" s="17" t="s">
        <v>76</v>
      </c>
      <c r="I36" s="34" t="s">
        <v>81</v>
      </c>
      <c r="J36" s="33"/>
      <c r="K36" s="141"/>
      <c r="L36" s="59"/>
      <c r="M36" s="5"/>
    </row>
    <row r="37" spans="2:13" ht="58.5" customHeight="1" x14ac:dyDescent="0.3">
      <c r="B37" s="26"/>
      <c r="C37" s="10" t="s">
        <v>48</v>
      </c>
      <c r="D37" s="77" t="s">
        <v>49</v>
      </c>
      <c r="E37" s="78"/>
      <c r="F37" s="77" t="s">
        <v>50</v>
      </c>
      <c r="G37" s="78"/>
      <c r="H37" s="81" t="s">
        <v>51</v>
      </c>
      <c r="I37" s="81"/>
      <c r="J37" s="77" t="s">
        <v>52</v>
      </c>
      <c r="K37" s="140"/>
      <c r="L37" s="38"/>
    </row>
    <row r="38" spans="2:13" ht="18" customHeight="1" thickBot="1" x14ac:dyDescent="0.35">
      <c r="B38" s="23"/>
      <c r="C38" s="27"/>
      <c r="D38" s="28" t="s">
        <v>11</v>
      </c>
      <c r="E38" s="31" t="s">
        <v>82</v>
      </c>
      <c r="F38" s="28" t="s">
        <v>11</v>
      </c>
      <c r="G38" s="31" t="s">
        <v>82</v>
      </c>
      <c r="H38" s="29" t="s">
        <v>11</v>
      </c>
      <c r="I38" s="31" t="s">
        <v>82</v>
      </c>
      <c r="J38" s="28" t="s">
        <v>11</v>
      </c>
      <c r="K38" s="32" t="s">
        <v>82</v>
      </c>
      <c r="L38" s="38"/>
    </row>
    <row r="39" spans="2:13" ht="66" customHeight="1" x14ac:dyDescent="0.3">
      <c r="B39" s="39" t="s">
        <v>53</v>
      </c>
      <c r="C39" s="48" t="s">
        <v>54</v>
      </c>
      <c r="D39" s="69" t="s">
        <v>55</v>
      </c>
      <c r="E39" s="70"/>
      <c r="F39" s="69" t="s">
        <v>56</v>
      </c>
      <c r="G39" s="70"/>
      <c r="H39" s="69" t="s">
        <v>57</v>
      </c>
      <c r="I39" s="70"/>
      <c r="J39" s="69" t="s">
        <v>58</v>
      </c>
      <c r="K39" s="71"/>
      <c r="L39" s="59"/>
    </row>
    <row r="40" spans="2:13" ht="18" customHeight="1" x14ac:dyDescent="0.3">
      <c r="B40" s="41"/>
      <c r="C40" s="51"/>
      <c r="D40" s="52" t="s">
        <v>11</v>
      </c>
      <c r="E40" s="34" t="s">
        <v>82</v>
      </c>
      <c r="F40" s="52" t="s">
        <v>11</v>
      </c>
      <c r="G40" s="34" t="s">
        <v>81</v>
      </c>
      <c r="H40" s="52" t="s">
        <v>11</v>
      </c>
      <c r="I40" s="34" t="s">
        <v>81</v>
      </c>
      <c r="J40" s="52" t="s">
        <v>11</v>
      </c>
      <c r="K40" s="35" t="s">
        <v>81</v>
      </c>
      <c r="L40" s="59"/>
    </row>
    <row r="41" spans="2:13" ht="74.400000000000006" customHeight="1" x14ac:dyDescent="0.3">
      <c r="B41" s="41"/>
      <c r="C41" s="55" t="s">
        <v>59</v>
      </c>
      <c r="D41" s="72" t="s">
        <v>60</v>
      </c>
      <c r="E41" s="73"/>
      <c r="F41" s="74" t="s">
        <v>61</v>
      </c>
      <c r="G41" s="75"/>
      <c r="H41" s="73" t="s">
        <v>62</v>
      </c>
      <c r="I41" s="73"/>
      <c r="J41" s="74" t="s">
        <v>63</v>
      </c>
      <c r="K41" s="76"/>
      <c r="L41" s="59"/>
    </row>
    <row r="42" spans="2:13" ht="18" customHeight="1" x14ac:dyDescent="0.3">
      <c r="B42" s="41"/>
      <c r="C42" s="56"/>
      <c r="D42" s="43" t="s">
        <v>11</v>
      </c>
      <c r="E42" s="16" t="s">
        <v>81</v>
      </c>
      <c r="F42" s="50" t="s">
        <v>75</v>
      </c>
      <c r="G42" s="16" t="s">
        <v>82</v>
      </c>
      <c r="H42" s="127" t="s">
        <v>11</v>
      </c>
      <c r="I42" s="16" t="s">
        <v>82</v>
      </c>
      <c r="J42" s="43" t="s">
        <v>11</v>
      </c>
      <c r="K42" s="30" t="s">
        <v>81</v>
      </c>
      <c r="L42" s="59"/>
    </row>
    <row r="43" spans="2:13" ht="18" customHeight="1" thickBot="1" x14ac:dyDescent="0.35">
      <c r="B43" s="45"/>
      <c r="C43" s="57"/>
      <c r="D43" s="126"/>
      <c r="E43" s="137"/>
      <c r="F43" s="58" t="s">
        <v>76</v>
      </c>
      <c r="G43" s="31" t="s">
        <v>82</v>
      </c>
      <c r="H43" s="128"/>
      <c r="I43" s="137"/>
      <c r="J43" s="126"/>
      <c r="K43" s="138"/>
      <c r="L43" s="59"/>
    </row>
    <row r="44" spans="2:13" ht="64.5" customHeight="1" x14ac:dyDescent="0.3">
      <c r="B44" s="21" t="s">
        <v>64</v>
      </c>
      <c r="C44" s="22" t="s">
        <v>17</v>
      </c>
      <c r="D44" s="84" t="s">
        <v>65</v>
      </c>
      <c r="E44" s="85"/>
      <c r="F44" s="132" t="s">
        <v>66</v>
      </c>
      <c r="G44" s="133"/>
      <c r="H44" s="84" t="s">
        <v>67</v>
      </c>
      <c r="I44" s="85"/>
      <c r="J44" s="134" t="s">
        <v>68</v>
      </c>
      <c r="K44" s="135"/>
      <c r="L44" s="59"/>
    </row>
    <row r="45" spans="2:13" ht="18" customHeight="1" thickBot="1" x14ac:dyDescent="0.35">
      <c r="B45" s="23"/>
      <c r="C45" s="24"/>
      <c r="D45" s="19" t="s">
        <v>11</v>
      </c>
      <c r="E45" s="31" t="s">
        <v>81</v>
      </c>
      <c r="F45" s="19" t="s">
        <v>11</v>
      </c>
      <c r="G45" s="31" t="s">
        <v>82</v>
      </c>
      <c r="H45" s="19" t="s">
        <v>11</v>
      </c>
      <c r="I45" s="31" t="s">
        <v>81</v>
      </c>
      <c r="J45" s="19" t="s">
        <v>11</v>
      </c>
      <c r="K45" s="32" t="s">
        <v>82</v>
      </c>
      <c r="L45" s="59"/>
    </row>
    <row r="46" spans="2:13" x14ac:dyDescent="0.35">
      <c r="D46" s="13"/>
      <c r="E46" s="36"/>
      <c r="F46" s="13"/>
      <c r="G46" s="36"/>
      <c r="H46" s="13"/>
      <c r="I46" s="36"/>
      <c r="J46" s="13"/>
      <c r="K46" s="36"/>
    </row>
    <row r="47" spans="2:13" x14ac:dyDescent="0.35">
      <c r="D47" s="13"/>
      <c r="E47" s="36"/>
      <c r="F47" s="13"/>
      <c r="G47" s="36"/>
      <c r="H47" s="13"/>
      <c r="I47" s="36"/>
      <c r="J47" s="13"/>
      <c r="K47" s="36"/>
    </row>
    <row r="48" spans="2:13" x14ac:dyDescent="0.35">
      <c r="D48" s="13"/>
      <c r="E48" s="36"/>
      <c r="F48" s="13"/>
      <c r="G48" s="36"/>
      <c r="H48" s="13"/>
      <c r="I48" s="36"/>
      <c r="J48" s="13"/>
      <c r="K48" s="36"/>
    </row>
    <row r="49" spans="4:11" x14ac:dyDescent="0.35">
      <c r="D49" s="13"/>
      <c r="E49" s="36"/>
      <c r="F49" s="13"/>
      <c r="G49" s="36"/>
      <c r="H49" s="13"/>
      <c r="I49" s="36"/>
      <c r="J49" s="13"/>
      <c r="K49" s="36"/>
    </row>
  </sheetData>
  <mergeCells count="74">
    <mergeCell ref="B39:B43"/>
    <mergeCell ref="C8:C12"/>
    <mergeCell ref="D24:E24"/>
    <mergeCell ref="J21:K21"/>
    <mergeCell ref="J24:K24"/>
    <mergeCell ref="H32:I32"/>
    <mergeCell ref="B18:B31"/>
    <mergeCell ref="C24:C31"/>
    <mergeCell ref="F21:G21"/>
    <mergeCell ref="F24:G24"/>
    <mergeCell ref="H24:I24"/>
    <mergeCell ref="H21:I21"/>
    <mergeCell ref="H18:I18"/>
    <mergeCell ref="D39:E39"/>
    <mergeCell ref="D41:E41"/>
    <mergeCell ref="D44:E44"/>
    <mergeCell ref="F44:G44"/>
    <mergeCell ref="F41:G41"/>
    <mergeCell ref="F39:G39"/>
    <mergeCell ref="J39:K39"/>
    <mergeCell ref="J41:K41"/>
    <mergeCell ref="J44:K44"/>
    <mergeCell ref="H44:I44"/>
    <mergeCell ref="H41:I41"/>
    <mergeCell ref="H39:I39"/>
    <mergeCell ref="F29:G29"/>
    <mergeCell ref="D29:E29"/>
    <mergeCell ref="H29:I29"/>
    <mergeCell ref="J29:K29"/>
    <mergeCell ref="J32:K32"/>
    <mergeCell ref="D37:E37"/>
    <mergeCell ref="D34:E34"/>
    <mergeCell ref="D32:E32"/>
    <mergeCell ref="F32:G32"/>
    <mergeCell ref="J34:K34"/>
    <mergeCell ref="J37:K37"/>
    <mergeCell ref="H37:I37"/>
    <mergeCell ref="H34:I34"/>
    <mergeCell ref="F34:G34"/>
    <mergeCell ref="F37:G37"/>
    <mergeCell ref="C15:C17"/>
    <mergeCell ref="B15:B17"/>
    <mergeCell ref="D21:E21"/>
    <mergeCell ref="D18:E18"/>
    <mergeCell ref="D15:E15"/>
    <mergeCell ref="F15:G15"/>
    <mergeCell ref="F18:G18"/>
    <mergeCell ref="D13:E13"/>
    <mergeCell ref="F13:G13"/>
    <mergeCell ref="H13:I13"/>
    <mergeCell ref="J13:K13"/>
    <mergeCell ref="C18:C20"/>
    <mergeCell ref="H15:I15"/>
    <mergeCell ref="J15:K15"/>
    <mergeCell ref="J18:K18"/>
    <mergeCell ref="J8:K8"/>
    <mergeCell ref="J7:K7"/>
    <mergeCell ref="D7:E7"/>
    <mergeCell ref="D8:E8"/>
    <mergeCell ref="F7:G7"/>
    <mergeCell ref="F8:G8"/>
    <mergeCell ref="H7:I7"/>
    <mergeCell ref="H8:I8"/>
    <mergeCell ref="B44:B45"/>
    <mergeCell ref="B32:B38"/>
    <mergeCell ref="C32:C33"/>
    <mergeCell ref="C37:C38"/>
    <mergeCell ref="C39:C40"/>
    <mergeCell ref="C44:C45"/>
    <mergeCell ref="C21:C23"/>
    <mergeCell ref="C34:C36"/>
    <mergeCell ref="C41:C43"/>
    <mergeCell ref="B8:B14"/>
    <mergeCell ref="C13:C14"/>
  </mergeCells>
  <dataValidations count="1">
    <dataValidation type="list" allowBlank="1" showInputMessage="1" showErrorMessage="1" sqref="K22:K23 G9 E9 E14 G14 I14 K14 I11 G16:G17 K9:K11 E16 I16 K16 I19 G19 E19 E22 G22 G25 E30 I30:I31 G35 E35 K30 K35 E42 I42 E25:E28 G30 I33 K33 G33 E33 I35:I36 K38 I38 G38 E38 E40 E45 G45 G42:G43 I45 K45 K40 I40 G40 I25 K25 I22 K19:K20 I9 K42" xr:uid="{4F850B23-72D3-42CE-AFF7-E77C4B7FF2EF}">
      <formula1>"Yes,No"</formula1>
    </dataValidation>
  </dataValidations>
  <pageMargins left="0.7" right="0.7" top="0.75" bottom="0.75" header="0.3" footer="0.3"/>
  <pageSetup orientation="portrait" r:id="rId1"/>
  <headerFooter>
    <oddFooter>&amp;R_x000D_&amp;1#&amp;"Aptos"&amp;10&amp;K000000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2FEA7-2755-42AA-AE92-AD811EBA4B74}">
  <dimension ref="B2:G16"/>
  <sheetViews>
    <sheetView showGridLines="0" tabSelected="1" zoomScale="115" zoomScaleNormal="115" workbookViewId="0">
      <selection activeCell="K8" sqref="K8"/>
    </sheetView>
  </sheetViews>
  <sheetFormatPr defaultRowHeight="14.4" x14ac:dyDescent="0.3"/>
  <cols>
    <col min="1" max="1" width="3.109375" customWidth="1"/>
    <col min="2" max="2" width="32.33203125" bestFit="1" customWidth="1"/>
    <col min="3" max="3" width="57.33203125" bestFit="1" customWidth="1"/>
    <col min="4" max="4" width="15.5546875" bestFit="1" customWidth="1"/>
    <col min="5" max="7" width="15.6640625" customWidth="1"/>
    <col min="8" max="8" width="11" customWidth="1"/>
  </cols>
  <sheetData>
    <row r="2" spans="2:7" ht="31.2" customHeight="1" x14ac:dyDescent="0.3">
      <c r="B2" s="109"/>
      <c r="C2" s="109"/>
      <c r="D2" s="110" t="s">
        <v>2</v>
      </c>
      <c r="E2" s="110" t="s">
        <v>74</v>
      </c>
      <c r="F2" s="110" t="s">
        <v>3</v>
      </c>
      <c r="G2" s="110" t="s">
        <v>4</v>
      </c>
    </row>
    <row r="3" spans="2:7" x14ac:dyDescent="0.3">
      <c r="B3" s="109" t="s">
        <v>97</v>
      </c>
      <c r="C3" s="109" t="s">
        <v>85</v>
      </c>
      <c r="D3" s="109">
        <f>IF(Questions!E9="Yes",1,0)</f>
        <v>1</v>
      </c>
      <c r="E3">
        <f>IF(Questions!G9="Yes",1,0)</f>
        <v>1</v>
      </c>
      <c r="F3" s="109">
        <f>0.5*IF(Questions!I9="Yes",1,0) + 0.5*IF(Questions!I11="Yes",1,0)</f>
        <v>1</v>
      </c>
      <c r="G3" s="109">
        <f>ROUND(0.3333*IF(Questions!K9="Yes",1,0) + 0.3333*IF(Questions!K10="Yes",1,0) + 0.3333*IF(Questions!K11="Yes",1,0),2)</f>
        <v>0.33</v>
      </c>
    </row>
    <row r="4" spans="2:7" x14ac:dyDescent="0.3">
      <c r="B4" s="109"/>
      <c r="C4" s="109" t="s">
        <v>86</v>
      </c>
      <c r="D4" s="109">
        <f>IF(Questions!E14="Yes",1,0)</f>
        <v>1</v>
      </c>
      <c r="E4" s="109">
        <f>IF(Questions!G14="Yes",1,0)</f>
        <v>0</v>
      </c>
      <c r="F4" s="109">
        <f>IF(Questions!I14="Yes",1,0)</f>
        <v>1</v>
      </c>
      <c r="G4" s="109">
        <f>IF(Questions!K14="Yes",1,0)</f>
        <v>0</v>
      </c>
    </row>
    <row r="5" spans="2:7" x14ac:dyDescent="0.3">
      <c r="B5" s="109" t="s">
        <v>87</v>
      </c>
      <c r="C5" s="109" t="s">
        <v>87</v>
      </c>
      <c r="D5" s="109">
        <f>IF(Questions!E16="Yes",1,0)</f>
        <v>1</v>
      </c>
      <c r="E5" s="109">
        <f>0.5*IF(Questions!G16="Yes",1,0) + 0.5*IF(Questions!G17="Yes",1,0)</f>
        <v>0.5</v>
      </c>
      <c r="F5" s="109">
        <f>IF(Questions!I16="Yes",1,0)</f>
        <v>1</v>
      </c>
      <c r="G5" s="109">
        <f>IF(Questions!K16="Yes",1,0)</f>
        <v>1</v>
      </c>
    </row>
    <row r="6" spans="2:7" x14ac:dyDescent="0.3">
      <c r="B6" s="109" t="s">
        <v>98</v>
      </c>
      <c r="C6" s="109" t="s">
        <v>88</v>
      </c>
      <c r="D6" s="109">
        <f>IF(Questions!E19="Yes",1,0)</f>
        <v>1</v>
      </c>
      <c r="E6" s="109">
        <f>IF(Questions!G19="Yes",1,0)</f>
        <v>1</v>
      </c>
      <c r="F6" s="109">
        <f>IF(Questions!I19="Yes",1,0)</f>
        <v>1</v>
      </c>
      <c r="G6" s="109">
        <f>0.5*IF(Questions!K19="Yes",1,0) + 0.5*IF(Questions!K20="Yes",1,0)</f>
        <v>0.5</v>
      </c>
    </row>
    <row r="7" spans="2:7" x14ac:dyDescent="0.3">
      <c r="B7" s="109"/>
      <c r="C7" s="109" t="s">
        <v>89</v>
      </c>
      <c r="D7" s="109">
        <f>IF(Questions!E22="Yes",1,0)</f>
        <v>1</v>
      </c>
      <c r="E7" s="109">
        <f>IF(Questions!G22="Yes",1,0)</f>
        <v>1</v>
      </c>
      <c r="F7" s="109">
        <f>IF(Questions!I22="Yes",1,0)</f>
        <v>1</v>
      </c>
      <c r="G7" s="109">
        <f>0.5*IF(Questions!K22="Yes",1,0) + 0.5*IF(Questions!K23="Yes",1,0)</f>
        <v>0</v>
      </c>
    </row>
    <row r="8" spans="2:7" x14ac:dyDescent="0.3">
      <c r="B8" s="109"/>
      <c r="C8" s="109" t="s">
        <v>90</v>
      </c>
      <c r="D8" s="109">
        <f>0.5*(0.25*IF(Questions!E25="Yes",1,0)+0.25*IF(Questions!E26="Yes",1,0)+0.25*IF(Questions!E27="Yes",1,0)+0.25*IF(Questions!E28="Yes",1,0))+0.5*IF(Questions!E30="Yes",1,0)</f>
        <v>1</v>
      </c>
      <c r="E8" s="109">
        <f>0.5*IF(Questions!G25="Yes",1,0)+0.5*IF(Questions!G30="Yes",1,0)</f>
        <v>0</v>
      </c>
      <c r="F8" s="109">
        <f>0.5*IF(Questions!I25="Yes",1,0)+0.5*(0.5*IF(Questions!I30="Yes",1,0)+0.5*IF(Questions!I31="Yes",1,0))</f>
        <v>0</v>
      </c>
      <c r="G8" s="109">
        <f>0.5*IF(Questions!K25="Yes",1,0)+0.5*IF(Questions!K30="Yes",1,0)</f>
        <v>0</v>
      </c>
    </row>
    <row r="9" spans="2:7" x14ac:dyDescent="0.3">
      <c r="B9" s="109" t="s">
        <v>99</v>
      </c>
      <c r="C9" s="109" t="s">
        <v>91</v>
      </c>
      <c r="D9" s="109">
        <f>IF(Questions!E33="Yes",1,0)</f>
        <v>1</v>
      </c>
      <c r="E9" s="109">
        <f>IF(Questions!G33="Yes",1,0)</f>
        <v>1</v>
      </c>
      <c r="F9" s="109">
        <f>IF(Questions!I33="Yes",1,0)</f>
        <v>1</v>
      </c>
      <c r="G9" s="109">
        <f>IF(Questions!K33="Yes",1,0)</f>
        <v>1</v>
      </c>
    </row>
    <row r="10" spans="2:7" x14ac:dyDescent="0.3">
      <c r="B10" s="109"/>
      <c r="C10" s="109" t="s">
        <v>92</v>
      </c>
      <c r="D10" s="109">
        <f>IF(Questions!E35="Yes",1,0)</f>
        <v>1</v>
      </c>
      <c r="E10" s="109">
        <f>IF(Questions!G35="Yes",1,0)</f>
        <v>1</v>
      </c>
      <c r="F10" s="109">
        <f>0.5*IF(Questions!I35="Yes",1,0) + 0.5*IF(Questions!I36="Yes",1,0)</f>
        <v>0.5</v>
      </c>
      <c r="G10" s="109">
        <f>IF(Questions!K35="Yes",1,0)</f>
        <v>1</v>
      </c>
    </row>
    <row r="11" spans="2:7" x14ac:dyDescent="0.3">
      <c r="B11" s="109"/>
      <c r="C11" s="109" t="s">
        <v>93</v>
      </c>
      <c r="D11" s="109">
        <f>IF(Questions!E38="Yes",1,0)</f>
        <v>0</v>
      </c>
      <c r="E11" s="109">
        <f>IF(Questions!G38="Yes",1,0)</f>
        <v>0</v>
      </c>
      <c r="F11" s="109">
        <f>IF(Questions!I38="Yes",1,0)</f>
        <v>0</v>
      </c>
      <c r="G11" s="109">
        <f>IF(Questions!K38="Yes",1,0)</f>
        <v>0</v>
      </c>
    </row>
    <row r="12" spans="2:7" x14ac:dyDescent="0.3">
      <c r="B12" s="109" t="s">
        <v>100</v>
      </c>
      <c r="C12" s="109" t="s">
        <v>94</v>
      </c>
      <c r="D12" s="109">
        <f>IF(Questions!E40="Yes",1,0)</f>
        <v>0</v>
      </c>
      <c r="E12" s="109">
        <f>IF(Questions!G40="Yes",1,0)</f>
        <v>1</v>
      </c>
      <c r="F12" s="109">
        <f>IF(Questions!I40="Yes",1,0)</f>
        <v>1</v>
      </c>
      <c r="G12" s="109">
        <f>IF(Questions!K40="Yes",1,0)</f>
        <v>1</v>
      </c>
    </row>
    <row r="13" spans="2:7" x14ac:dyDescent="0.3">
      <c r="B13" s="109"/>
      <c r="C13" s="109" t="s">
        <v>95</v>
      </c>
      <c r="D13" s="109">
        <f>IF(Questions!E42="Yes",1,0)</f>
        <v>1</v>
      </c>
      <c r="E13" s="109">
        <f>0.5*IF(Questions!G42="Yes",1,0)+0.5*IF(Questions!G43="Yes",1,0)</f>
        <v>0</v>
      </c>
      <c r="F13" s="109">
        <f>IF(Questions!I42="Yes",1,0)</f>
        <v>0</v>
      </c>
      <c r="G13" s="109">
        <f>IF(Questions!K42="Yes",1,0)</f>
        <v>1</v>
      </c>
    </row>
    <row r="14" spans="2:7" x14ac:dyDescent="0.3">
      <c r="B14" s="109" t="s">
        <v>96</v>
      </c>
      <c r="C14" s="109" t="s">
        <v>96</v>
      </c>
      <c r="D14" s="109">
        <f>IF(Questions!E45="Yes",1,0)</f>
        <v>1</v>
      </c>
      <c r="E14" s="109">
        <f>IF(Questions!G45="Yes",1,0)</f>
        <v>0</v>
      </c>
      <c r="F14" s="109">
        <f>IF(Questions!I45="Yes",1,0)</f>
        <v>1</v>
      </c>
      <c r="G14" s="109">
        <f>IF(Questions!K45="Yes",1,0)</f>
        <v>0</v>
      </c>
    </row>
    <row r="16" spans="2:7" ht="18" x14ac:dyDescent="0.35">
      <c r="B16" s="6" t="s">
        <v>101</v>
      </c>
      <c r="C16" s="7"/>
      <c r="D16" s="144">
        <f>64-(COUNTIF(Questions!D7:K45,"YES")+COUNTIF(Questions!D7:K45,"NO"))</f>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Questions</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VDB</dc:creator>
  <cp:keywords/>
  <dc:description/>
  <cp:lastModifiedBy>Joaquin Munoz Diaz</cp:lastModifiedBy>
  <cp:revision/>
  <dcterms:created xsi:type="dcterms:W3CDTF">2025-11-03T15:08:11Z</dcterms:created>
  <dcterms:modified xsi:type="dcterms:W3CDTF">2025-11-12T18:20:30Z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2025-11-03T15:41:25Z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62d7a113-bfc2-40be-a25f-7fd6196ccc61</vt:lpwstr>
  </property>
  <property fmtid="{D5CDD505-2E9C-101B-9397-08002B2CF9AE}" pid="8" name="MSIP_Label_f1bf45b6-5649-4236-82a3-f45024cd282e_ContentBits">
    <vt:lpwstr>2</vt:lpwstr>
  </property>
  <property fmtid="{D5CDD505-2E9C-101B-9397-08002B2CF9AE}" pid="9" name="MSIP_Label_f1bf45b6-5649-4236-82a3-f45024cd282e_Tag">
    <vt:lpwstr>10, 3, 0, 2</vt:lpwstr>
  </property>
</Properties>
</file>