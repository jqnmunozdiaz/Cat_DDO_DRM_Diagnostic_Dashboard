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qnmu\OneDrive\World_Bank_DRM\Cat_DDO_DRM_Diagnostic_Dashboard\data\"/>
    </mc:Choice>
  </mc:AlternateContent>
  <xr:revisionPtr revIDLastSave="0" documentId="13_ncr:1_{883E8F8F-D387-46E5-8CF0-859394472AB8}" xr6:coauthVersionLast="47" xr6:coauthVersionMax="47" xr10:uidLastSave="{00000000-0000-0000-0000-000000000000}"/>
  <bookViews>
    <workbookView xWindow="-108" yWindow="-108" windowWidth="30936" windowHeight="1677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<sst xmlns="http://schemas.openxmlformats.org/spreadsheetml/2006/main" count="172" uniqueCount="127">
  <si>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</si>
  <si>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</si>
  <si>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</si>
  <si>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</si>
  <si>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</si>
  <si>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</si>
  <si>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</si>
  <si>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</si>
  <si>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</si>
  <si>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</si>
  <si>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</si>
  <si>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</si>
  <si>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</si>
  <si>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</si>
  <si>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</si>
  <si>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</si>
  <si>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</si>
  <si>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</si>
  <si>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</si>
  <si>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</si>
  <si>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</si>
  <si>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</si>
  <si>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</si>
  <si>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</si>
  <si>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</si>
  <si>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</si>
  <si>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</si>
  <si>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</si>
  <si>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</si>
  <si>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</si>
  <si>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</si>
  <si>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</si>
  <si>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</si>
  <si>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</si>
  <si>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</si>
  <si>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</si>
  <si>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</si>
  <si>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</si>
  <si>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</si>
  <si>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</si>
  <si>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</si>
  <si>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</si>
  <si>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</si>
  <si>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</si>
  <si>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</si>
  <si>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Yes</t>
  </si>
  <si>
    <t>No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</si>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</sst>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" fillId="0" borderId="3" xfId="2" applyAlignment="1">
      <alignment horizontal="left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20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9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zoomScaleNormal="100" workbookViewId="0">
      <selection activeCell="D5" sqref="D5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hidden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66" t="s">
        <v>126</v>
      </c>
      <c r="C2" s="66"/>
      <c r="D2" s="66"/>
      <c r="E2" s="66"/>
      <c r="F2" s="66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48</v>
      </c>
      <c r="C5" s="3"/>
      <c r="D5" s="9"/>
    </row>
    <row r="6" spans="2:51" ht="14.4" customHeight="1" x14ac:dyDescent="0.3">
      <c r="B6" s="4" t="s">
        <v>49</v>
      </c>
      <c r="C6" s="4"/>
      <c r="D6" s="9"/>
    </row>
    <row r="7" spans="2:51" ht="14.4" customHeight="1" x14ac:dyDescent="0.3">
      <c r="B7" s="54" t="s">
        <v>50</v>
      </c>
      <c r="C7" s="4"/>
      <c r="D7" s="9"/>
      <c r="G7" s="1" t="s">
        <v>125</v>
      </c>
    </row>
    <row r="8" spans="2:51" ht="14.4" customHeight="1" x14ac:dyDescent="0.3">
      <c r="B8" s="54"/>
      <c r="C8" s="48"/>
      <c r="D8" s="49"/>
      <c r="E8" s="50"/>
      <c r="F8" s="50"/>
      <c r="G8" s="4">
        <f>COUNTBLANK(E15:E61)</f>
        <v>0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123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7" t="str">
        <f>IF(G8&gt;0,_xlfn.CONCAT("Please complete asessment to proceed. Remaining questions: ",G8), _xlfn.TEXTJOIN(";",FALSE,H15:H61))</f>
        <v>Q1,Yes,1;Q2,Yes,1;Q3,Yes,0.5;Q4,Yes,0.5;Q5,No,1;Q6,Yes,1;Q7,No,1;Q8,Yes,0.5;Q9,Yes,0.5;Q10,Yes,1;Q11,No,1;Q12,No,0.5;Q13,Yes,0.5;Q14,Yes,1;Q15,No,1;Q16,Yes,1;Q17,Yes,1;Q18,No,0.25;Q19,No,0.25;Q20,Yes,0.25;Q21,Yes,0.25;Q22,No,1;Q23,Yes,1;Q24,No,1;Q25,No,1;Q26,No,0.5;Q27,No,0.5;Q28,Yes,1;Q29,Yes,1;Q30,Yes,1;Q31,Yes,1;Q32,No,0.5;Q33,No,0.5;Q34,Yes,1;Q35,Yes,1;Q36,Yes,1;Q37,Yes,1;Q38,Yes,1;Q39,Yes,1;Q40,Yes,0.5;Q41,Yes,0.5;Q42,Yes,1;Q43,Yes,1;Q44,Yes,1;Q45,Yes,1;Q46,No,1;Q47,Yes,1</v>
      </c>
      <c r="C10" s="56"/>
      <c r="D10" s="53"/>
      <c r="E10" s="50" t="s">
        <v>124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5" t="s">
        <v>122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47</v>
      </c>
      <c r="E14" s="23" t="s">
        <v>56</v>
      </c>
      <c r="F14" s="22" t="s">
        <v>51</v>
      </c>
      <c r="G14" s="46" t="s">
        <v>74</v>
      </c>
    </row>
    <row r="15" spans="2:51" ht="42.6" customHeight="1" x14ac:dyDescent="0.3">
      <c r="B15" s="65" t="s">
        <v>1</v>
      </c>
      <c r="C15" s="62" t="s">
        <v>2</v>
      </c>
      <c r="D15" s="10" t="s">
        <v>65</v>
      </c>
      <c r="E15" s="25" t="s">
        <v>45</v>
      </c>
      <c r="F15" s="36">
        <v>1</v>
      </c>
      <c r="G15" s="47" t="s">
        <v>75</v>
      </c>
      <c r="H15" s="1" t="str">
        <f>_xlfn.TEXTJOIN(",",FALSE,G15,E15,F15)</f>
        <v>Q1,Yes,1</v>
      </c>
    </row>
    <row r="16" spans="2:51" ht="42.6" customHeight="1" x14ac:dyDescent="0.3">
      <c r="B16" s="58"/>
      <c r="C16" s="63"/>
      <c r="D16" s="6" t="s">
        <v>3</v>
      </c>
      <c r="E16" s="26" t="s">
        <v>45</v>
      </c>
      <c r="F16" s="37">
        <v>1</v>
      </c>
      <c r="G16" s="1" t="s">
        <v>76</v>
      </c>
      <c r="H16" s="1" t="str">
        <f t="shared" ref="H16:H61" si="0">_xlfn.TEXTJOIN(",",FALSE,G16,E16,F16)</f>
        <v>Q2,Yes,1</v>
      </c>
    </row>
    <row r="17" spans="2:8" ht="42.6" customHeight="1" x14ac:dyDescent="0.3">
      <c r="B17" s="58"/>
      <c r="C17" s="63"/>
      <c r="D17" s="10" t="s">
        <v>57</v>
      </c>
      <c r="E17" s="25" t="s">
        <v>45</v>
      </c>
      <c r="F17" s="36">
        <v>0.5</v>
      </c>
      <c r="G17" s="47" t="s">
        <v>77</v>
      </c>
      <c r="H17" s="1" t="str">
        <f t="shared" si="0"/>
        <v>Q3,Yes,0.5</v>
      </c>
    </row>
    <row r="18" spans="2:8" ht="42.6" customHeight="1" x14ac:dyDescent="0.3">
      <c r="B18" s="58"/>
      <c r="C18" s="64"/>
      <c r="D18" s="6" t="s">
        <v>58</v>
      </c>
      <c r="E18" s="26" t="s">
        <v>45</v>
      </c>
      <c r="F18" s="37">
        <v>0.5</v>
      </c>
      <c r="G18" s="1" t="s">
        <v>78</v>
      </c>
      <c r="H18" s="1" t="str">
        <f t="shared" si="0"/>
        <v>Q4,Yes,0.5</v>
      </c>
    </row>
    <row r="19" spans="2:8" ht="42.6" customHeight="1" x14ac:dyDescent="0.3">
      <c r="B19" s="58"/>
      <c r="C19" s="62" t="s">
        <v>4</v>
      </c>
      <c r="D19" s="10" t="s">
        <v>66</v>
      </c>
      <c r="E19" s="25" t="s">
        <v>46</v>
      </c>
      <c r="F19" s="36">
        <v>1</v>
      </c>
      <c r="G19" s="47" t="s">
        <v>79</v>
      </c>
      <c r="H19" s="1" t="str">
        <f t="shared" si="0"/>
        <v>Q5,No,1</v>
      </c>
    </row>
    <row r="20" spans="2:8" ht="42.6" customHeight="1" thickBot="1" x14ac:dyDescent="0.35">
      <c r="B20" s="58"/>
      <c r="C20" s="63"/>
      <c r="D20" s="7" t="s">
        <v>67</v>
      </c>
      <c r="E20" s="27" t="s">
        <v>45</v>
      </c>
      <c r="F20" s="38">
        <v>1</v>
      </c>
      <c r="G20" s="1" t="s">
        <v>80</v>
      </c>
      <c r="H20" s="1" t="str">
        <f t="shared" si="0"/>
        <v>Q6,Yes,1</v>
      </c>
    </row>
    <row r="21" spans="2:8" ht="42.6" customHeight="1" x14ac:dyDescent="0.3">
      <c r="B21" s="72" t="s">
        <v>5</v>
      </c>
      <c r="C21" s="69"/>
      <c r="D21" s="11" t="s">
        <v>35</v>
      </c>
      <c r="E21" s="28" t="s">
        <v>46</v>
      </c>
      <c r="F21" s="39">
        <v>1</v>
      </c>
      <c r="G21" s="47" t="s">
        <v>81</v>
      </c>
      <c r="H21" s="1" t="str">
        <f t="shared" si="0"/>
        <v>Q7,No,1</v>
      </c>
    </row>
    <row r="22" spans="2:8" ht="42.6" customHeight="1" x14ac:dyDescent="0.3">
      <c r="B22" s="58"/>
      <c r="C22" s="70"/>
      <c r="D22" s="6" t="s">
        <v>62</v>
      </c>
      <c r="E22" s="26" t="s">
        <v>45</v>
      </c>
      <c r="F22" s="37">
        <v>0.5</v>
      </c>
      <c r="G22" s="1" t="s">
        <v>82</v>
      </c>
      <c r="H22" s="1" t="str">
        <f t="shared" si="0"/>
        <v>Q8,Yes,0.5</v>
      </c>
    </row>
    <row r="23" spans="2:8" ht="42.6" customHeight="1" x14ac:dyDescent="0.3">
      <c r="B23" s="58"/>
      <c r="C23" s="70"/>
      <c r="D23" s="10" t="s">
        <v>63</v>
      </c>
      <c r="E23" s="25" t="s">
        <v>45</v>
      </c>
      <c r="F23" s="36">
        <v>0.5</v>
      </c>
      <c r="G23" s="47" t="s">
        <v>83</v>
      </c>
      <c r="H23" s="1" t="str">
        <f t="shared" si="0"/>
        <v>Q9,Yes,0.5</v>
      </c>
    </row>
    <row r="24" spans="2:8" ht="42.6" customHeight="1" thickBot="1" x14ac:dyDescent="0.35">
      <c r="B24" s="73"/>
      <c r="C24" s="71"/>
      <c r="D24" s="12" t="s">
        <v>37</v>
      </c>
      <c r="E24" s="29" t="s">
        <v>45</v>
      </c>
      <c r="F24" s="40">
        <v>1</v>
      </c>
      <c r="G24" s="1" t="s">
        <v>84</v>
      </c>
      <c r="H24" s="1" t="str">
        <f t="shared" si="0"/>
        <v>Q10,Yes,1</v>
      </c>
    </row>
    <row r="25" spans="2:8" ht="42.6" customHeight="1" x14ac:dyDescent="0.3">
      <c r="B25" s="58" t="s">
        <v>6</v>
      </c>
      <c r="C25" s="63" t="s">
        <v>7</v>
      </c>
      <c r="D25" s="13" t="s">
        <v>64</v>
      </c>
      <c r="E25" s="30" t="s">
        <v>46</v>
      </c>
      <c r="F25" s="41">
        <v>1</v>
      </c>
      <c r="G25" s="47" t="s">
        <v>85</v>
      </c>
      <c r="H25" s="1" t="str">
        <f t="shared" si="0"/>
        <v>Q11,No,1</v>
      </c>
    </row>
    <row r="26" spans="2:8" ht="42.6" customHeight="1" x14ac:dyDescent="0.3">
      <c r="B26" s="58"/>
      <c r="C26" s="63"/>
      <c r="D26" s="6" t="s">
        <v>39</v>
      </c>
      <c r="E26" s="26" t="s">
        <v>46</v>
      </c>
      <c r="F26" s="37">
        <v>0.5</v>
      </c>
      <c r="G26" s="1" t="s">
        <v>86</v>
      </c>
      <c r="H26" s="1" t="str">
        <f t="shared" si="0"/>
        <v>Q12,No,0.5</v>
      </c>
    </row>
    <row r="27" spans="2:8" ht="42.6" customHeight="1" x14ac:dyDescent="0.3">
      <c r="B27" s="58"/>
      <c r="C27" s="63"/>
      <c r="D27" s="10" t="s">
        <v>38</v>
      </c>
      <c r="E27" s="25" t="s">
        <v>45</v>
      </c>
      <c r="F27" s="36">
        <v>0.5</v>
      </c>
      <c r="G27" s="47" t="s">
        <v>87</v>
      </c>
      <c r="H27" s="1" t="str">
        <f t="shared" si="0"/>
        <v>Q13,Yes,0.5</v>
      </c>
    </row>
    <row r="28" spans="2:8" ht="42.6" customHeight="1" x14ac:dyDescent="0.3">
      <c r="B28" s="58"/>
      <c r="C28" s="64"/>
      <c r="D28" s="6" t="s">
        <v>68</v>
      </c>
      <c r="E28" s="26" t="s">
        <v>45</v>
      </c>
      <c r="F28" s="37">
        <v>1</v>
      </c>
      <c r="G28" s="1" t="s">
        <v>88</v>
      </c>
      <c r="H28" s="1" t="str">
        <f t="shared" si="0"/>
        <v>Q14,Yes,1</v>
      </c>
    </row>
    <row r="29" spans="2:8" ht="42.6" customHeight="1" x14ac:dyDescent="0.3">
      <c r="B29" s="58"/>
      <c r="C29" s="62" t="s">
        <v>8</v>
      </c>
      <c r="D29" s="10" t="s">
        <v>9</v>
      </c>
      <c r="E29" s="25" t="s">
        <v>46</v>
      </c>
      <c r="F29" s="36">
        <v>1</v>
      </c>
      <c r="G29" s="47" t="s">
        <v>89</v>
      </c>
      <c r="H29" s="1" t="str">
        <f t="shared" si="0"/>
        <v>Q15,No,1</v>
      </c>
    </row>
    <row r="30" spans="2:8" ht="42.6" customHeight="1" x14ac:dyDescent="0.3">
      <c r="B30" s="58"/>
      <c r="C30" s="63"/>
      <c r="D30" s="6" t="s">
        <v>33</v>
      </c>
      <c r="E30" s="26" t="s">
        <v>45</v>
      </c>
      <c r="F30" s="37">
        <v>1</v>
      </c>
      <c r="G30" s="1" t="s">
        <v>90</v>
      </c>
      <c r="H30" s="1" t="str">
        <f t="shared" si="0"/>
        <v>Q16,Yes,1</v>
      </c>
    </row>
    <row r="31" spans="2:8" ht="42.6" customHeight="1" x14ac:dyDescent="0.3">
      <c r="B31" s="58"/>
      <c r="C31" s="64"/>
      <c r="D31" s="10" t="s">
        <v>41</v>
      </c>
      <c r="E31" s="25" t="s">
        <v>45</v>
      </c>
      <c r="F31" s="36">
        <v>1</v>
      </c>
      <c r="G31" s="47" t="s">
        <v>91</v>
      </c>
      <c r="H31" s="1" t="str">
        <f t="shared" si="0"/>
        <v>Q17,Yes,1</v>
      </c>
    </row>
    <row r="32" spans="2:8" ht="42.6" customHeight="1" x14ac:dyDescent="0.3">
      <c r="B32" s="58"/>
      <c r="C32" s="62" t="s">
        <v>10</v>
      </c>
      <c r="D32" s="6" t="s">
        <v>55</v>
      </c>
      <c r="E32" s="26" t="s">
        <v>46</v>
      </c>
      <c r="F32" s="37">
        <v>0.25</v>
      </c>
      <c r="G32" s="1" t="s">
        <v>92</v>
      </c>
      <c r="H32" s="1" t="str">
        <f t="shared" si="0"/>
        <v>Q18,No,0.25</v>
      </c>
    </row>
    <row r="33" spans="2:8" ht="42.6" customHeight="1" x14ac:dyDescent="0.3">
      <c r="B33" s="58"/>
      <c r="C33" s="63"/>
      <c r="D33" s="20" t="s">
        <v>52</v>
      </c>
      <c r="E33" s="25" t="s">
        <v>46</v>
      </c>
      <c r="F33" s="36">
        <v>0.25</v>
      </c>
      <c r="G33" s="47" t="s">
        <v>93</v>
      </c>
      <c r="H33" s="1" t="str">
        <f t="shared" si="0"/>
        <v>Q19,No,0.25</v>
      </c>
    </row>
    <row r="34" spans="2:8" ht="42.6" customHeight="1" x14ac:dyDescent="0.3">
      <c r="B34" s="58"/>
      <c r="C34" s="63"/>
      <c r="D34" s="21" t="s">
        <v>53</v>
      </c>
      <c r="E34" s="26" t="s">
        <v>45</v>
      </c>
      <c r="F34" s="37">
        <v>0.25</v>
      </c>
      <c r="G34" s="1" t="s">
        <v>94</v>
      </c>
      <c r="H34" s="1" t="str">
        <f t="shared" si="0"/>
        <v>Q20,Yes,0.25</v>
      </c>
    </row>
    <row r="35" spans="2:8" ht="42.6" customHeight="1" x14ac:dyDescent="0.3">
      <c r="B35" s="58"/>
      <c r="C35" s="63"/>
      <c r="D35" s="20" t="s">
        <v>54</v>
      </c>
      <c r="E35" s="25" t="s">
        <v>45</v>
      </c>
      <c r="F35" s="36">
        <v>0.25</v>
      </c>
      <c r="G35" s="47" t="s">
        <v>95</v>
      </c>
      <c r="H35" s="1" t="str">
        <f t="shared" si="0"/>
        <v>Q21,Yes,0.25</v>
      </c>
    </row>
    <row r="36" spans="2:8" ht="42.6" customHeight="1" x14ac:dyDescent="0.3">
      <c r="B36" s="58"/>
      <c r="C36" s="63"/>
      <c r="D36" s="6" t="s">
        <v>11</v>
      </c>
      <c r="E36" s="26" t="s">
        <v>46</v>
      </c>
      <c r="F36" s="37">
        <v>1</v>
      </c>
      <c r="G36" s="1" t="s">
        <v>96</v>
      </c>
      <c r="H36" s="1" t="str">
        <f t="shared" si="0"/>
        <v>Q22,No,1</v>
      </c>
    </row>
    <row r="37" spans="2:8" ht="42.6" customHeight="1" x14ac:dyDescent="0.3">
      <c r="B37" s="58"/>
      <c r="C37" s="63"/>
      <c r="D37" s="10" t="s">
        <v>40</v>
      </c>
      <c r="E37" s="25" t="s">
        <v>45</v>
      </c>
      <c r="F37" s="36">
        <v>1</v>
      </c>
      <c r="G37" s="47" t="s">
        <v>97</v>
      </c>
      <c r="H37" s="1" t="str">
        <f t="shared" si="0"/>
        <v>Q23,Yes,1</v>
      </c>
    </row>
    <row r="38" spans="2:8" ht="42.6" customHeight="1" x14ac:dyDescent="0.3">
      <c r="B38" s="58"/>
      <c r="C38" s="63"/>
      <c r="D38" s="6" t="s">
        <v>36</v>
      </c>
      <c r="E38" s="26" t="s">
        <v>46</v>
      </c>
      <c r="F38" s="37">
        <v>1</v>
      </c>
      <c r="G38" s="1" t="s">
        <v>98</v>
      </c>
      <c r="H38" s="1" t="str">
        <f t="shared" si="0"/>
        <v>Q24,No,1</v>
      </c>
    </row>
    <row r="39" spans="2:8" ht="42.6" customHeight="1" x14ac:dyDescent="0.3">
      <c r="B39" s="58"/>
      <c r="C39" s="63"/>
      <c r="D39" s="10" t="s">
        <v>71</v>
      </c>
      <c r="E39" s="25" t="s">
        <v>46</v>
      </c>
      <c r="F39" s="36">
        <v>1</v>
      </c>
      <c r="G39" s="47" t="s">
        <v>99</v>
      </c>
      <c r="H39" s="1" t="str">
        <f t="shared" si="0"/>
        <v>Q25,No,1</v>
      </c>
    </row>
    <row r="40" spans="2:8" ht="42.6" customHeight="1" x14ac:dyDescent="0.3">
      <c r="B40" s="58"/>
      <c r="C40" s="63"/>
      <c r="D40" s="6" t="s">
        <v>69</v>
      </c>
      <c r="E40" s="26" t="s">
        <v>46</v>
      </c>
      <c r="F40" s="37">
        <v>0.5</v>
      </c>
      <c r="G40" s="1" t="s">
        <v>100</v>
      </c>
      <c r="H40" s="1" t="str">
        <f t="shared" si="0"/>
        <v>Q26,No,0.5</v>
      </c>
    </row>
    <row r="41" spans="2:8" ht="42.6" customHeight="1" thickBot="1" x14ac:dyDescent="0.35">
      <c r="B41" s="58"/>
      <c r="C41" s="63"/>
      <c r="D41" s="14" t="s">
        <v>70</v>
      </c>
      <c r="E41" s="31" t="s">
        <v>46</v>
      </c>
      <c r="F41" s="42">
        <v>0.5</v>
      </c>
      <c r="G41" s="47" t="s">
        <v>101</v>
      </c>
      <c r="H41" s="1" t="str">
        <f t="shared" si="0"/>
        <v>Q27,No,0.5</v>
      </c>
    </row>
    <row r="42" spans="2:8" ht="42.6" customHeight="1" x14ac:dyDescent="0.3">
      <c r="B42" s="59" t="s">
        <v>12</v>
      </c>
      <c r="C42" s="67" t="s">
        <v>13</v>
      </c>
      <c r="D42" s="15" t="s">
        <v>14</v>
      </c>
      <c r="E42" s="32" t="s">
        <v>45</v>
      </c>
      <c r="F42" s="43">
        <v>1</v>
      </c>
      <c r="G42" s="1" t="s">
        <v>102</v>
      </c>
      <c r="H42" s="1" t="str">
        <f t="shared" si="0"/>
        <v>Q28,Yes,1</v>
      </c>
    </row>
    <row r="43" spans="2:8" ht="42.6" customHeight="1" x14ac:dyDescent="0.3">
      <c r="B43" s="60"/>
      <c r="C43" s="63"/>
      <c r="D43" s="10" t="s">
        <v>15</v>
      </c>
      <c r="E43" s="25" t="s">
        <v>45</v>
      </c>
      <c r="F43" s="36">
        <v>1</v>
      </c>
      <c r="G43" s="47" t="s">
        <v>103</v>
      </c>
      <c r="H43" s="1" t="str">
        <f t="shared" si="0"/>
        <v>Q29,Yes,1</v>
      </c>
    </row>
    <row r="44" spans="2:8" ht="42.6" customHeight="1" x14ac:dyDescent="0.3">
      <c r="B44" s="60"/>
      <c r="C44" s="64"/>
      <c r="D44" s="6" t="s">
        <v>16</v>
      </c>
      <c r="E44" s="26" t="s">
        <v>45</v>
      </c>
      <c r="F44" s="37">
        <v>1</v>
      </c>
      <c r="G44" s="1" t="s">
        <v>104</v>
      </c>
      <c r="H44" s="1" t="str">
        <f t="shared" si="0"/>
        <v>Q30,Yes,1</v>
      </c>
    </row>
    <row r="45" spans="2:8" ht="42.6" customHeight="1" x14ac:dyDescent="0.3">
      <c r="B45" s="60"/>
      <c r="C45" s="62" t="s">
        <v>17</v>
      </c>
      <c r="D45" s="10" t="s">
        <v>18</v>
      </c>
      <c r="E45" s="25" t="s">
        <v>45</v>
      </c>
      <c r="F45" s="36">
        <v>1</v>
      </c>
      <c r="G45" s="47" t="s">
        <v>105</v>
      </c>
      <c r="H45" s="1" t="str">
        <f t="shared" si="0"/>
        <v>Q31,Yes,1</v>
      </c>
    </row>
    <row r="46" spans="2:8" ht="42.6" customHeight="1" x14ac:dyDescent="0.3">
      <c r="B46" s="60"/>
      <c r="C46" s="63"/>
      <c r="D46" s="6" t="s">
        <v>59</v>
      </c>
      <c r="E46" s="26" t="s">
        <v>46</v>
      </c>
      <c r="F46" s="37">
        <v>0.5</v>
      </c>
      <c r="G46" s="1" t="s">
        <v>106</v>
      </c>
      <c r="H46" s="1" t="str">
        <f t="shared" si="0"/>
        <v>Q32,No,0.5</v>
      </c>
    </row>
    <row r="47" spans="2:8" ht="42.6" customHeight="1" x14ac:dyDescent="0.3">
      <c r="B47" s="60"/>
      <c r="C47" s="63"/>
      <c r="D47" s="10" t="s">
        <v>60</v>
      </c>
      <c r="E47" s="25" t="s">
        <v>46</v>
      </c>
      <c r="F47" s="36">
        <v>0.5</v>
      </c>
      <c r="G47" s="47" t="s">
        <v>107</v>
      </c>
      <c r="H47" s="1" t="str">
        <f t="shared" si="0"/>
        <v>Q33,No,0.5</v>
      </c>
    </row>
    <row r="48" spans="2:8" ht="42.6" customHeight="1" x14ac:dyDescent="0.3">
      <c r="B48" s="60"/>
      <c r="C48" s="64"/>
      <c r="D48" s="6" t="s">
        <v>19</v>
      </c>
      <c r="E48" s="26" t="s">
        <v>45</v>
      </c>
      <c r="F48" s="37">
        <v>1</v>
      </c>
      <c r="G48" s="1" t="s">
        <v>108</v>
      </c>
      <c r="H48" s="1" t="str">
        <f t="shared" si="0"/>
        <v>Q34,Yes,1</v>
      </c>
    </row>
    <row r="49" spans="2:8" ht="42.6" customHeight="1" x14ac:dyDescent="0.3">
      <c r="B49" s="60"/>
      <c r="C49" s="62" t="s">
        <v>20</v>
      </c>
      <c r="D49" s="10" t="s">
        <v>21</v>
      </c>
      <c r="E49" s="25" t="s">
        <v>45</v>
      </c>
      <c r="F49" s="36">
        <v>1</v>
      </c>
      <c r="G49" s="47" t="s">
        <v>109</v>
      </c>
      <c r="H49" s="1" t="str">
        <f t="shared" si="0"/>
        <v>Q35,Yes,1</v>
      </c>
    </row>
    <row r="50" spans="2:8" ht="42.6" customHeight="1" x14ac:dyDescent="0.3">
      <c r="B50" s="60"/>
      <c r="C50" s="63"/>
      <c r="D50" s="6" t="s">
        <v>22</v>
      </c>
      <c r="E50" s="26" t="s">
        <v>45</v>
      </c>
      <c r="F50" s="37">
        <v>1</v>
      </c>
      <c r="G50" s="1" t="s">
        <v>110</v>
      </c>
      <c r="H50" s="1" t="str">
        <f t="shared" si="0"/>
        <v>Q36,Yes,1</v>
      </c>
    </row>
    <row r="51" spans="2:8" ht="42.6" customHeight="1" thickBot="1" x14ac:dyDescent="0.35">
      <c r="B51" s="61"/>
      <c r="C51" s="68"/>
      <c r="D51" s="16" t="s">
        <v>61</v>
      </c>
      <c r="E51" s="33" t="s">
        <v>45</v>
      </c>
      <c r="F51" s="44">
        <v>1</v>
      </c>
      <c r="G51" s="47" t="s">
        <v>111</v>
      </c>
      <c r="H51" s="1" t="str">
        <f t="shared" si="0"/>
        <v>Q37,Yes,1</v>
      </c>
    </row>
    <row r="52" spans="2:8" ht="42.6" customHeight="1" x14ac:dyDescent="0.3">
      <c r="B52" s="60" t="s">
        <v>23</v>
      </c>
      <c r="C52" s="63" t="s">
        <v>24</v>
      </c>
      <c r="D52" s="8" t="s">
        <v>42</v>
      </c>
      <c r="E52" s="34" t="s">
        <v>45</v>
      </c>
      <c r="F52" s="45">
        <v>1</v>
      </c>
      <c r="G52" s="1" t="s">
        <v>112</v>
      </c>
      <c r="H52" s="1" t="str">
        <f t="shared" si="0"/>
        <v>Q38,Yes,1</v>
      </c>
    </row>
    <row r="53" spans="2:8" ht="42.6" customHeight="1" x14ac:dyDescent="0.3">
      <c r="B53" s="60"/>
      <c r="C53" s="63"/>
      <c r="D53" s="10" t="s">
        <v>25</v>
      </c>
      <c r="E53" s="25" t="s">
        <v>45</v>
      </c>
      <c r="F53" s="36">
        <v>1</v>
      </c>
      <c r="G53" s="47" t="s">
        <v>113</v>
      </c>
      <c r="H53" s="1" t="str">
        <f t="shared" si="0"/>
        <v>Q39,Yes,1</v>
      </c>
    </row>
    <row r="54" spans="2:8" ht="42.6" customHeight="1" x14ac:dyDescent="0.3">
      <c r="B54" s="60"/>
      <c r="C54" s="63"/>
      <c r="D54" s="6" t="s">
        <v>34</v>
      </c>
      <c r="E54" s="26" t="s">
        <v>45</v>
      </c>
      <c r="F54" s="37">
        <v>0.5</v>
      </c>
      <c r="G54" s="1" t="s">
        <v>114</v>
      </c>
      <c r="H54" s="1" t="str">
        <f t="shared" si="0"/>
        <v>Q40,Yes,0.5</v>
      </c>
    </row>
    <row r="55" spans="2:8" ht="42.6" customHeight="1" x14ac:dyDescent="0.3">
      <c r="B55" s="60"/>
      <c r="C55" s="64"/>
      <c r="D55" s="10" t="s">
        <v>26</v>
      </c>
      <c r="E55" s="25" t="s">
        <v>45</v>
      </c>
      <c r="F55" s="36">
        <v>0.5</v>
      </c>
      <c r="G55" s="47" t="s">
        <v>115</v>
      </c>
      <c r="H55" s="1" t="str">
        <f t="shared" si="0"/>
        <v>Q41,Yes,0.5</v>
      </c>
    </row>
    <row r="56" spans="2:8" ht="42.6" customHeight="1" x14ac:dyDescent="0.3">
      <c r="B56" s="60"/>
      <c r="C56" s="62" t="s">
        <v>27</v>
      </c>
      <c r="D56" s="6" t="s">
        <v>43</v>
      </c>
      <c r="E56" s="26" t="s">
        <v>45</v>
      </c>
      <c r="F56" s="37">
        <v>1</v>
      </c>
      <c r="G56" s="1" t="s">
        <v>116</v>
      </c>
      <c r="H56" s="1" t="str">
        <f t="shared" si="0"/>
        <v>Q42,Yes,1</v>
      </c>
    </row>
    <row r="57" spans="2:8" ht="42.6" customHeight="1" x14ac:dyDescent="0.3">
      <c r="B57" s="60"/>
      <c r="C57" s="63"/>
      <c r="D57" s="10" t="s">
        <v>44</v>
      </c>
      <c r="E57" s="25" t="s">
        <v>45</v>
      </c>
      <c r="F57" s="36">
        <v>1</v>
      </c>
      <c r="G57" s="47" t="s">
        <v>117</v>
      </c>
      <c r="H57" s="1" t="str">
        <f t="shared" si="0"/>
        <v>Q43,Yes,1</v>
      </c>
    </row>
    <row r="58" spans="2:8" ht="42.6" customHeight="1" thickBot="1" x14ac:dyDescent="0.35">
      <c r="B58" s="60"/>
      <c r="C58" s="63"/>
      <c r="D58" s="7" t="s">
        <v>72</v>
      </c>
      <c r="E58" s="27" t="s">
        <v>45</v>
      </c>
      <c r="F58" s="38">
        <v>1</v>
      </c>
      <c r="G58" s="1" t="s">
        <v>118</v>
      </c>
      <c r="H58" s="1" t="str">
        <f t="shared" si="0"/>
        <v>Q44,Yes,1</v>
      </c>
    </row>
    <row r="59" spans="2:8" ht="42.6" customHeight="1" x14ac:dyDescent="0.3">
      <c r="B59" s="59" t="s">
        <v>28</v>
      </c>
      <c r="C59" s="69"/>
      <c r="D59" s="11" t="s">
        <v>29</v>
      </c>
      <c r="E59" s="35" t="s">
        <v>45</v>
      </c>
      <c r="F59" s="39">
        <v>1</v>
      </c>
      <c r="G59" s="47" t="s">
        <v>119</v>
      </c>
      <c r="H59" s="1" t="str">
        <f t="shared" si="0"/>
        <v>Q45,Yes,1</v>
      </c>
    </row>
    <row r="60" spans="2:8" ht="42.6" customHeight="1" x14ac:dyDescent="0.3">
      <c r="B60" s="60"/>
      <c r="C60" s="70"/>
      <c r="D60" s="6" t="s">
        <v>73</v>
      </c>
      <c r="E60" s="26" t="s">
        <v>46</v>
      </c>
      <c r="F60" s="37">
        <v>1</v>
      </c>
      <c r="G60" s="1" t="s">
        <v>120</v>
      </c>
      <c r="H60" s="1" t="str">
        <f t="shared" si="0"/>
        <v>Q46,No,1</v>
      </c>
    </row>
    <row r="61" spans="2:8" ht="42.6" customHeight="1" thickBot="1" x14ac:dyDescent="0.35">
      <c r="B61" s="61"/>
      <c r="C61" s="71"/>
      <c r="D61" s="16" t="s">
        <v>30</v>
      </c>
      <c r="E61" s="33" t="s">
        <v>45</v>
      </c>
      <c r="F61" s="44">
        <v>1</v>
      </c>
      <c r="G61" s="47" t="s">
        <v>121</v>
      </c>
      <c r="H61" s="1" t="str">
        <f t="shared" si="0"/>
        <v>Q47,Yes,1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  <mergeCell ref="B25:B41"/>
    <mergeCell ref="B42:B51"/>
    <mergeCell ref="B52:B58"/>
    <mergeCell ref="C15:C18"/>
    <mergeCell ref="C19:C20"/>
    <mergeCell ref="B15:B20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2025-12-11T16:09:30Z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