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<sst xmlns="http://schemas.openxmlformats.org/spreadsheetml/2006/main" count="178" uniqueCount="131">
  <si>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</si>
  <si>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</si>
  <si>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</si>
  <si>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</si>
  <si>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</si>
  <si>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</si>
  <si>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</si>
  <si>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</si>
  <si>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</si>
  <si>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</si>
  <si>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</si>
  <si>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</si>
  <si>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</si>
  <si>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</si>
  <si>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</si>
  <si>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</si>
  <si>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</si>
  <si>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</si>
  <si>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</si>
  <si>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</si>
  <si>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</si>
  <si>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Yes</t>
  </si>
  <si>
    <t xml:space="preserve">Lei de Bases Gerais da Proteção Civil, Lei n.º 12/VIII/2012 defines distinct responsibilities (Art. 4) but puts both under the responsability of SNPC (see: https://boe.incv.cv/Bulletins/View/14954) </t>
  </si>
  <si>
    <t xml:space="preserve">Is there an opportunity/ political appetite to assign DRR responsibilities to a high-level entity in charge of planning development and with the ability to coordinate across sectors? e.g. DNP?</t>
  </si>
  <si>
    <t xml:space="preserve">Have any implementing decrees or regulations been approved since the adoption of the DRM legal framework? (e.g., rules on the structure or functions of the DRM agency or implementing regulations of the DRM law)</t>
  </si>
  <si>
    <t xml:space="preserve">https://boe.incv.cv/Bulletins/View?id=86458</t>
  </si>
  <si>
    <t xml:space="preserve">In the last 4 years, have DRM policy instruments reflecting progress towards the objective laid out in the DRM legal framework been officially approved/updated? (e.g., DRM strategies or policies) </t>
  </si>
  <si>
    <t xml:space="preserve">ENRRD in 2017: https://portaldoclima.gov.cv/recurso/estrategia-nacional-de-reducao-de-riscos-de-desastres-2017/ </t>
  </si>
  <si>
    <t xml:space="preserve">Did the institution responsible for coordinating or leading DRM activities receive dedicated and significant funding for these functions in the last fiscal year? </t>
  </si>
  <si>
    <t xml:space="preserve">Unknown</t>
  </si>
  <si>
    <t xml:space="preserve">Probably yes, but no information a this level of detail in the budget. https://boe.incv.cv/Bulletins/View?id=89137</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</si>
  <si>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</si>
  <si>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</si>
  <si>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PEDS II, pag 160 https://portaldoclima.gov.cv/wp-content/uploads/2023/11/PLANO-ESTRATEGICO-DE-DESENVOLVIMENTO-SUSTENTAVEL-2022-2026-PEDS-II.pdf</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</si>
  <si>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</si>
  <si>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</si>
  <si>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</si>
  <si>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INGT/INMG</t>
  </si>
  <si>
    <t xml:space="preserve">Is existing hazard and risk information accessible to government entities and citizens (e.g., through open-data platforms, risk atlases)?</t>
  </si>
  <si>
    <t xml:space="preserve">I couldn't manage to access the hazard data through the different available platforms...This one seems to have the data but it is not working anymore https://idecv.gov.cv/apps/idecv-visor/explore</t>
  </si>
  <si>
    <t xml:space="preserve">Follow up with INGT during the mission</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</si>
  <si>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</si>
  <si>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</si>
  <si>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No, unless there are new datasets since 2018</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</si>
  <si>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</si>
  <si>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</si>
  <si>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</si>
  <si>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Supported by Cat DDO 1, regulations https://ingt.gov.cv/ingt/wp-admin/admin-ajax.php?juwpfisadmin=false&amp;action=wpfd&amp;task=file.download&amp;wpfd_category_id=37&amp;wpfd_file_id=2607&amp;token=&amp;preview=1</t>
  </si>
  <si>
    <t xml:space="preserve">Do official methodologies to guide the development of risk-informed territorial, spatial, land use or urban planning instruments exist? </t>
  </si>
  <si>
    <t xml:space="preserve">Regulations are comprehensive but do not discuss methodologies. If it exists, this document is probably internal and use for firm procurement https://ingt.gov.cv/ingt/documentos/#42-37-ordenamento-territorio</t>
  </si>
  <si>
    <t xml:space="preserve">To be asked to INGT during the mission</t>
  </si>
  <si>
    <t xml:space="preserve">Do guidelines or procedures for managing housing/settlements located in high-risk areas exist?</t>
  </si>
  <si>
    <t xml:space="preserve">Not a guideline, but this law governs informal settlements https://ingt.gov.cv/ingt/wp-admin/admin-ajax.php?juwpfisadmin=false&amp;action=wpfd&amp;task=file.download&amp;wpfd_category_id=38&amp;wpfd_file_id=2549&amp;token=&amp;preview=1</t>
  </si>
  <si>
    <t xml:space="preserve">In the past 4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</si>
  <si>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</si>
  <si>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</si>
  <si>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Reform supported as part of the last DPF series and evidenced in the new Decreto-Lei 54-2024: https://boe.incv.cv/Bulletins/Details/A2024/S1/BO105/6038</t>
  </si>
  <si>
    <t xml:space="preserve">Do official guidelines exist defining disaster and climate risk screening methodologies for new public investment projects? </t>
  </si>
  <si>
    <t xml:space="preserve">See annex 1 of Decreto Lei 54-2024 and the pre-screening template developed with DNP (section 4- CDRS)</t>
  </si>
  <si>
    <t xml:space="preserve">Are approved projects that have been identified as high-risk (or equivalent) through the disaster and climate screening process required to include risk mitigation measures?</t>
  </si>
  <si>
    <t xml:space="preserve">No</t>
  </si>
  <si>
    <t xml:space="preserve">Risk mitigation measures are not mandatory but projects that do not include those measures when risk is high will receive less points for this aspect during the screening process - and thus will be less likely to be prioritized for incorporation and funding through the national budget</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</si>
  <si>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</si>
  <si>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</si>
  <si>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Not fully sure, but I think Estradas CV had some norms that apply here. https://home.estradas.cv/index.php/documentos/normas/category/8-normas</t>
  </si>
  <si>
    <t xml:space="preserve">(2) education (schools) </t>
  </si>
  <si>
    <t xml:space="preserve">There should be, but can't find the documents. There was TA provided by the Bank on Safer Schools back in 2018 to support the MoE in integrating DRM considerations into school infrastructure investments, maintenance, and operations. </t>
  </si>
  <si>
    <t xml:space="preserve">Need to follow-up with MINEDU</t>
  </si>
  <si>
    <t xml:space="preserve">(3) health (hospitals)</t>
  </si>
  <si>
    <t xml:space="preserve">Need to follow-up with health colleagues and Ministry of Health</t>
  </si>
  <si>
    <t xml:space="preserve">(4) energy infrastructure?</t>
  </si>
  <si>
    <t xml:space="preserve">Need to follow-up with ENR colleagues and Ministry of Mines and Energy</t>
  </si>
  <si>
    <t xml:space="preserve">Is there at least one legally binding building code or standard that requires earthquake-resistant or other hazard-resistant (e.g., wind, flood) design for buildings?</t>
  </si>
  <si>
    <t xml:space="preserve">Art 56 of the CTE. Could not find the associated description https://www.arquitectos.org.cv/wp-content/uploads/2020/07/B.-O.-II-Serie-n-2_2012-Codigo-Tecnico-1.pdf</t>
  </si>
  <si>
    <t xml:space="preserve">In the past 4 years, has any public project or program been allocated funding for retrofitting activities that follow vulnerability assessments and resilient design standards?</t>
  </si>
  <si>
    <t xml:space="preserve">The TA strengthened the National Plan for the Rehabilitation and Extension of School Infrastructure, which is aimed at rehabilitating, strengthening and expanding school infrastructure in the country by 2021. Did not find an online copy of this plan. Need to follow-up with Minedu</t>
  </si>
  <si>
    <t xml:space="preserve">Is there a legal framework for water supply and sanitation in urban areas that take flood risk into account?</t>
  </si>
  <si>
    <t xml:space="preserve">The CAS provides the overarching framework  https://ampeid.org/documents/cabo-verde/legislative-decree-no-3-2015-approving-the-water-and-sanitation-code-(cas)/</t>
  </si>
  <si>
    <t xml:space="preserve">Is there a water governance framework that includes a coordination mechanism gathering the main actors in charge of Integrated Water Resources Management (e.g., water, agriculture, urban planning, energy)?</t>
  </si>
  <si>
    <t xml:space="preserve">The CAS as well</t>
  </si>
  <si>
    <t xml:space="preserve">Have any watershed basins undergone improvements in water management in the last four years?</t>
  </si>
  <si>
    <t xml:space="preserve">Follow-up with ANAS- Ministerio Ambiente</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</si>
  <si>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</si>
  <si>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</si>
  <si>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</si>
  <si>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No in 2018, based on R2R. They are starting some projects it seems https://expressodasilhas.cv/pais/2026/01/07/cabo-verde-desenvolve-sistema-de-alertas-meteorologicos-e-de-outros-riscos/100789</t>
  </si>
  <si>
    <t xml:space="preserve">Check updates with INMG / SNPCB</t>
  </si>
  <si>
    <t xml:space="preserve">Over the most recent major disaster, was the population promptly alerted (e.g., via SMS or other tailored communication channels)? </t>
  </si>
  <si>
    <t xml:space="preserve">According to R2R yes: "The current practice of issuing SMS warnings via cell phone provides little control over the timely delivery of warnings, due to vulnerabilities of the cell phone system with no adequate back-up available. Formal agreements with telecom providers, such as a Memorandum of Understanding (MoU), are inexistent, but providers cooperate on the basis of informal agreements."</t>
  </si>
  <si>
    <t xml:space="preserve">To be asked to SNPCB</t>
  </si>
  <si>
    <t xml:space="preserve">In the past 4 years, has there been a consistent budget allocation for the expansion, maintenance, and operation of the geophysical and/or hydrometeorological network?</t>
  </si>
  <si>
    <t xml:space="preserve">Probably yes by INMG</t>
  </si>
  <si>
    <t xml:space="preserve">4.2. Emergency Preparedness and Response (EP&amp;R)</t>
  </si>
  <si>
    <t xml:space="preserve">Is there a legal framework for EP&amp;R clearly defining the roles and responsibilities of institutions involved in disaster management? </t>
  </si>
  <si>
    <t xml:space="preserve">Lei de bases 2012</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</si>
  <si>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</si>
  <si>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</si>
  <si>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Based on the 2019 R2R diagnosis: "As of today, none of Cabo Verde’s municipalities has implemented an emergency response plan. There is no functioning municipal civil protection service in Cabo Verde with the minimum human resource capacities for the complete fulfillment of the responsibilities assigned to them."</t>
  </si>
  <si>
    <t xml:space="preserve">Do emergency preparedness plans incorporate gender-sensitive measures, such as gender-based violence prevention, safe shelters, and women's specific needs during evacuation and displacement? </t>
  </si>
  <si>
    <t xml:space="preserve">Not even in the R2R we found an answer, it is unlikely</t>
  </si>
  <si>
    <t xml:space="preserve">4.3. Adaptive Social Protection (ASP)</t>
  </si>
  <si>
    <t xml:space="preserve">Is there a legal framework clearly defining the roles and responsibilities of institutions involved in ASP (e.g., social protection, finance, DRM)?</t>
  </si>
  <si>
    <t xml:space="preserve">Decreto-Lei 33-2022: https://boe.incv.cv/Bulletins/Details/A2022/S1/BO74/4333 ; o rendimento social de inclusão emergencial was supported through Cat DDO2</t>
  </si>
  <si>
    <t xml:space="preserve">Is there a unified social registry incorporating exposure and vulnerability data to facilitate the targeting of population potentially affected in case of disaster or climate-related shocks?</t>
  </si>
  <si>
    <t xml:space="preserve">Check with SP colleagues or Ministério da Família, Inclusão e Desenvolvimento Social, MFIDS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</si>
  <si>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</si>
  <si>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</si>
  <si>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</si>
  <si>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</si>
  <si>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Both a risk unit and a risk committee exist within MoF, both explicitly targeted with risk associated with disasters/ climate-related shocks: https://boe.incv.cv/Bulletins/Details/A2022/S1/BO64/4295</t>
  </si>
  <si>
    <t xml:space="preserve">Are contingent liabilities associated with disasters quantified through an established methodology for the major hazards?</t>
  </si>
  <si>
    <t xml:space="preserve">As part of the preparation the 1st Cat DDO a risk profile was prepared by the WB team for different hazards. This quantification has been used as the basis to quantify disaster-related fiscal risks </t>
  </si>
  <si>
    <t xml:space="preserve">Do key fiscal policy documents (e.g., the medium-term fiscal framework or fiscal risk statements) include quantified assessments of disaster risks?</t>
  </si>
  <si>
    <t xml:space="preserve">See the last fiscal risk statement as an annex to the 2025 budget(page 156; prepared with TA from WB + IMF): https://boe.incv.cv/Bulletins/Details/A2024/S1/BO125/SUP1/6150</t>
  </si>
  <si>
    <t xml:space="preserve">Has the government conducted stress tests of public debt that include disaster or climate-related scenarios?</t>
  </si>
  <si>
    <t xml:space="preserve">See the last fiscal risk statement as an annex to the 2025 budget, prepared with TA from WB + IMF: impact of a 10YRP on public debt trajectory</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</si>
  <si>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</si>
  <si>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</si>
  <si>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FNE is in place + 2 Cat DDOs have been used. Low penetration of insurance</t>
  </si>
  <si>
    <t xml:space="preserve">Are there regulations that define standards for catastrophe insurance coverage of public or private assets?</t>
  </si>
  <si>
    <t xml:space="preserve">The R2R diagnosis found no information for the indicator related to: "Critical Infrastructure Assurance Program"</t>
  </si>
  <si>
    <t xml:space="preserve">To be discussed with insurance supervisors in Cabo Verde</t>
  </si>
  <si>
    <t xml:space="preserve">In the past 4 years, has the $ amount of financing that can be mobilized through sovereign risk financing instruments increased?</t>
  </si>
  <si>
    <t xml:space="preserve">a US10 Million Cat DDO has been secured + Allocation to FNE increase in nominal terms</t>
  </si>
  <si>
    <t xml:space="preserve">6. Resilient Reconstruction</t>
  </si>
  <si>
    <t xml:space="preserve">Are there laws or regulations that establish the institutions responsible for coordinating post-disaster recovery and reconstruction?</t>
  </si>
  <si>
    <t xml:space="preserve">There is a provision for the creation of the committee but it seems it is to be created on an ad-hoc basis
Gabinete de Gestao de Recuperacao. Art 2. https://faolex.fao.org/docs/pdf/cvi183018.pdf</t>
  </si>
  <si>
    <t xml:space="preserve">Has the government approved methodologies, guidelines, or regulations to evaluate damages following a disaster?</t>
  </si>
  <si>
    <t xml:space="preserve">The Recovery Framework (QRPD) suggests to do it, but did not find further evidence</t>
  </si>
  <si>
    <t xml:space="preserve">After a recent major disaster, has any zoning, land use or territorial planning instrument in the affected areas been reviewed with the objective of reducing risk?</t>
  </si>
  <si>
    <t xml:space="preserve">In the case of Fogo, a Plano Detalhado was approved in 2018 following the volcanic eruption. Art. 44 shows that considerations have been taken into account.  https://boe.incv.cv/Bulletins/Details/A2018/S1/BO24/2510</t>
  </si>
</sst>
</file>

<file path=xl/styles.xml><?xml version="1.0" encoding="utf-8"?>
<styleSheet xmlns="http://schemas.openxmlformats.org/spreadsheetml/2006/main">
  <numFmts count="1">
    <numFmt numFmtId="164" formatCode="General"/>
  </numFmts>
  <fonts count="15">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
      <u val="single"/>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13" fillId="4" borderId="0" xfId="0" applyFont="true" applyBorder="false" applyAlignment="true" applyProtection="true">
      <alignment horizontal="general" vertical="bottom" textRotation="0" wrapText="true" indent="0" shrinkToFit="false"/>
      <protection locked="true" hidden="false"/>
    </xf>
    <xf numFmtId="164" fontId="13" fillId="4" borderId="2" xfId="25" applyFont="true" applyBorder="true" applyAlignment="true" applyProtection="true">
      <alignment horizontal="center" vertical="center" textRotation="0" wrapText="tru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3" fillId="0" borderId="2" xfId="0" applyFont="true" applyBorder="true" applyAlignment="true" applyProtection="true">
      <alignment horizontal="center" vertical="center" textRotation="0" wrapText="tru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center" vertical="center"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xf numFmtId="164" fontId="13" fillId="0" borderId="2" xfId="0" applyFont="true" applyBorder="true" applyAlignment="true" applyProtection="true">
      <alignment horizontal="center" vertical="center"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Relationship Id="rId2" Type="http://schemas.openxmlformats.org/officeDocument/2006/relationships/hyperlink" Target="https://boe.incv.cv/Bulletins/View?id=86458" TargetMode="External"/><Relationship Id="rId3" Type="http://schemas.openxmlformats.org/officeDocument/2006/relationships/hyperlink" Target="https://boe.incv.cv/Bulletins/View?id=89137" TargetMode="External"/><Relationship Id="rId4" Type="http://schemas.openxmlformats.org/officeDocument/2006/relationships/hyperlink" Target="https://portaldoclima.gov.cv/wp-content/uploads/2023/11/PLANO-ESTRATEGICO-DE-DESENVOLVIMENTO-SUSTENTAVEL-2022-2026-PEDS-II.pdf" TargetMode="External"/><Relationship Id="rId5" Type="http://schemas.openxmlformats.org/officeDocument/2006/relationships/hyperlink" Target="https://idecv.gov.cv/apps/idecv-visor/explore" TargetMode="External"/><Relationship Id="rId6" Type="http://schemas.openxmlformats.org/officeDocument/2006/relationships/hyperlink" Target="https://ingt.gov.cv/ingt/wp-admin/admin-ajax.php?juwpfisadmin=false&amp;action=wpfd&amp;task=file.download&amp;wpfd_category_id=37&amp;wpfd_file_id=2607&amp;token=&amp;preview=1" TargetMode="External"/><Relationship Id="rId7" Type="http://schemas.openxmlformats.org/officeDocument/2006/relationships/hyperlink" Target="https://ingt.gov.cv/ingt/documentos/" TargetMode="External"/><Relationship Id="rId8" Type="http://schemas.openxmlformats.org/officeDocument/2006/relationships/hyperlink" Target="https://home.estradas.cv/index.php/documentos/normas/category/8-normas" TargetMode="External"/><Relationship Id="rId9" Type="http://schemas.openxmlformats.org/officeDocument/2006/relationships/hyperlink" Target="https://ampeid.org/documents/cabo-verde/legislative-decree-no-3-2015-approving-the-water-and-sanitation-code-(cas)/" TargetMode="External"/><Relationship Id="rId10" Type="http://schemas.openxmlformats.org/officeDocument/2006/relationships/hyperlink" Target="https://faolex.fao.org/docs/pdf/cvi183018.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C19" colorId="64" zoomScale="90" zoomScaleNormal="90" zoomScalePageLayoutView="100" workbookViewId="0">
      <selection pane="topLeft" activeCell="F35" activeCellId="0" sqref="F35"/>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2.71"/>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51.22"/>
    <col collapsed="false" customWidth="true" hidden="false" outlineLevel="0" max="7" min="7" style="3" width="62.72"/>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Q1;Yes;1&amp;Q2;Yes;1&amp;Q3;Yes;1&amp;Q4;Unknown;1&amp;Q5;Yes;1&amp;Q6;Unknown;1&amp;Q7;Yes;1&amp;Q8;Unknown;1&amp;Q9;Unknown;1&amp;Q10;Unknown;1&amp;Q11;Yes;1&amp;Q12;Unknown;1&amp;Q13;Yes;1&amp;Q14;Unknown;1&amp;Q15;Yes;1&amp;Q16;Yes;1&amp;Q17;No;1&amp;Q18;Yes;0.25&amp;Q19;Unknown;0.25&amp;Q20;Unknown;0.25&amp;Q21;Unknown;0.25&amp;Q22;Yes;1&amp;Q23;Unknown;1&amp;Q24;Yes;1&amp;Q25;Yes;1&amp;Q26;Unknown;1&amp;Q27;No;1&amp;Q28;Yes;1&amp;Q29;Unknown;1&amp;Q30;Yes;1&amp;Q31;Unknown;1&amp;Q32;No;1&amp;Q33;Unknown;1&amp;Q34;Yes;1&amp;Q35;Unknown;1&amp;Q36;Unknown;1&amp;Q37;Yes;1&amp;Q38;Yes;1&amp;Q39;Yes;1&amp;Q40;Yes;1&amp;Q41;Yes;1&amp;Q42;Unknown;1&amp;Q43;Yes;1&amp;Q44;No;1&amp;Q45;No;1&amp;Q46;Yes;1</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t="s">
        <v>21</v>
      </c>
      <c r="F15" s="27" t="s">
        <v>22</v>
      </c>
      <c r="G15" s="28" t="s">
        <v>23</v>
      </c>
      <c r="H15" s="26" t="n">
        <v>1</v>
      </c>
      <c r="I15" s="26" t="n">
        <v>1</v>
      </c>
      <c r="J15" s="26" t="str">
        <f aca="false">_xlfn.CONCAT("Q",I15)</f>
        <v>Q1</v>
      </c>
      <c r="K15" s="29" t="str">
        <f aca="false">_xlfn.TEXTJOIN(";",FALSE(),J15,E15,H15)</f>
        <v>Q1;Yes;1</v>
      </c>
    </row>
    <row r="16" customFormat="false" ht="42" hidden="false" customHeight="true" outlineLevel="0" collapsed="false">
      <c r="B16" s="24"/>
      <c r="C16" s="24"/>
      <c r="D16" s="30" t="s">
        <v>24</v>
      </c>
      <c r="E16" s="31" t="s">
        <v>21</v>
      </c>
      <c r="F16" s="32" t="s">
        <v>25</v>
      </c>
      <c r="G16" s="33"/>
      <c r="H16" s="34" t="n">
        <v>1</v>
      </c>
      <c r="I16" s="34" t="n">
        <f aca="false">I15+1</f>
        <v>2</v>
      </c>
      <c r="J16" s="35" t="str">
        <f aca="false">_xlfn.CONCAT("Q",I16)</f>
        <v>Q2</v>
      </c>
      <c r="K16" s="34" t="str">
        <f aca="false">_xlfn.TEXTJOIN(";",FALSE(),J16,E16,H16)</f>
        <v>Q2;Yes;1</v>
      </c>
      <c r="L16" s="36"/>
    </row>
    <row r="17" customFormat="false" ht="42" hidden="false" customHeight="true" outlineLevel="0" collapsed="false">
      <c r="B17" s="24"/>
      <c r="C17" s="24"/>
      <c r="D17" s="25" t="s">
        <v>26</v>
      </c>
      <c r="E17" s="26" t="s">
        <v>21</v>
      </c>
      <c r="F17" s="28" t="s">
        <v>27</v>
      </c>
      <c r="G17" s="28"/>
      <c r="H17" s="26" t="n">
        <v>1</v>
      </c>
      <c r="I17" s="29" t="n">
        <f aca="false">I16+1</f>
        <v>3</v>
      </c>
      <c r="J17" s="26" t="str">
        <f aca="false">_xlfn.CONCAT("Q",I17)</f>
        <v>Q3</v>
      </c>
      <c r="K17" s="29" t="str">
        <f aca="false">_xlfn.TEXTJOIN(";",FALSE(),J17,E17,H17)</f>
        <v>Q3;Yes;1</v>
      </c>
    </row>
    <row r="18" customFormat="false" ht="42" hidden="false" customHeight="true" outlineLevel="0" collapsed="false">
      <c r="B18" s="24"/>
      <c r="C18" s="24"/>
      <c r="D18" s="24" t="s">
        <v>28</v>
      </c>
      <c r="E18" s="31" t="s">
        <v>29</v>
      </c>
      <c r="F18" s="33" t="s">
        <v>30</v>
      </c>
      <c r="G18" s="33"/>
      <c r="H18" s="34" t="n">
        <v>1</v>
      </c>
      <c r="I18" s="34" t="n">
        <f aca="false">I17+1</f>
        <v>4</v>
      </c>
      <c r="J18" s="35" t="str">
        <f aca="false">_xlfn.CONCAT("Q",I18)</f>
        <v>Q4</v>
      </c>
      <c r="K18" s="34" t="str">
        <f aca="false">_xlfn.TEXTJOIN(";",FALSE(),J18,E18,H18)</f>
        <v>Q4;Unknown;1</v>
      </c>
    </row>
    <row r="19" customFormat="false" ht="42" hidden="false" customHeight="true" outlineLevel="0" collapsed="false">
      <c r="B19" s="24"/>
      <c r="C19" s="24" t="s">
        <v>31</v>
      </c>
      <c r="D19" s="25" t="s">
        <v>32</v>
      </c>
      <c r="E19" s="26" t="s">
        <v>21</v>
      </c>
      <c r="F19" s="37" t="s">
        <v>33</v>
      </c>
      <c r="G19" s="28"/>
      <c r="H19" s="26" t="n">
        <v>1</v>
      </c>
      <c r="I19" s="29" t="n">
        <f aca="false">I18+1</f>
        <v>5</v>
      </c>
      <c r="J19" s="26" t="str">
        <f aca="false">_xlfn.CONCAT("Q",I19)</f>
        <v>Q5</v>
      </c>
      <c r="K19" s="29" t="str">
        <f aca="false">_xlfn.TEXTJOIN(";",FALSE(),J19,E19,H19)</f>
        <v>Q5;Yes;1</v>
      </c>
    </row>
    <row r="20" customFormat="false" ht="42" hidden="false" customHeight="true" outlineLevel="0" collapsed="false">
      <c r="B20" s="24"/>
      <c r="C20" s="24"/>
      <c r="D20" s="24" t="s">
        <v>34</v>
      </c>
      <c r="E20" s="31" t="s">
        <v>29</v>
      </c>
      <c r="F20" s="33"/>
      <c r="G20" s="33"/>
      <c r="H20" s="34" t="n">
        <v>1</v>
      </c>
      <c r="I20" s="34" t="n">
        <f aca="false">I19+1</f>
        <v>6</v>
      </c>
      <c r="J20" s="35" t="str">
        <f aca="false">_xlfn.CONCAT("Q",I20)</f>
        <v>Q6</v>
      </c>
      <c r="K20" s="34" t="str">
        <f aca="false">_xlfn.TEXTJOIN(";",FALSE(),J20,E20,H20)</f>
        <v>Q6;Unknown;1</v>
      </c>
      <c r="L20" s="38"/>
    </row>
    <row r="21" customFormat="false" ht="42" hidden="false" customHeight="true" outlineLevel="0" collapsed="false">
      <c r="B21" s="24" t="s">
        <v>35</v>
      </c>
      <c r="C21" s="24" t="s">
        <v>35</v>
      </c>
      <c r="D21" s="25" t="s">
        <v>36</v>
      </c>
      <c r="E21" s="26" t="s">
        <v>21</v>
      </c>
      <c r="F21" s="28" t="s">
        <v>37</v>
      </c>
      <c r="G21" s="28"/>
      <c r="H21" s="26" t="n">
        <v>1</v>
      </c>
      <c r="I21" s="29" t="n">
        <f aca="false">I20+1</f>
        <v>7</v>
      </c>
      <c r="J21" s="26" t="str">
        <f aca="false">_xlfn.CONCAT("Q",I21)</f>
        <v>Q7</v>
      </c>
      <c r="K21" s="29" t="str">
        <f aca="false">_xlfn.TEXTJOIN(";",FALSE(),J21,E21,H21)</f>
        <v>Q7;Yes;1</v>
      </c>
    </row>
    <row r="22" customFormat="false" ht="42" hidden="false" customHeight="true" outlineLevel="0" collapsed="false">
      <c r="B22" s="24"/>
      <c r="C22" s="24"/>
      <c r="D22" s="30" t="s">
        <v>38</v>
      </c>
      <c r="E22" s="31" t="s">
        <v>29</v>
      </c>
      <c r="F22" s="33" t="s">
        <v>39</v>
      </c>
      <c r="G22" s="33" t="s">
        <v>40</v>
      </c>
      <c r="H22" s="34" t="n">
        <v>1</v>
      </c>
      <c r="I22" s="34" t="n">
        <f aca="false">I21+1</f>
        <v>8</v>
      </c>
      <c r="J22" s="35" t="str">
        <f aca="false">_xlfn.CONCAT("Q",I22)</f>
        <v>Q8</v>
      </c>
      <c r="K22" s="34" t="str">
        <f aca="false">_xlfn.TEXTJOIN(";",FALSE(),J22,E22,H22)</f>
        <v>Q8;Unknown;1</v>
      </c>
    </row>
    <row r="23" customFormat="false" ht="42" hidden="false" customHeight="true" outlineLevel="0" collapsed="false">
      <c r="B23" s="24"/>
      <c r="C23" s="24"/>
      <c r="D23" s="25" t="s">
        <v>41</v>
      </c>
      <c r="E23" s="26" t="s">
        <v>29</v>
      </c>
      <c r="F23" s="28"/>
      <c r="G23" s="28"/>
      <c r="H23" s="26" t="n">
        <v>1</v>
      </c>
      <c r="I23" s="29" t="n">
        <f aca="false">I22+1</f>
        <v>9</v>
      </c>
      <c r="J23" s="26" t="str">
        <f aca="false">_xlfn.CONCAT("Q",I23)</f>
        <v>Q9</v>
      </c>
      <c r="K23" s="29" t="str">
        <f aca="false">_xlfn.TEXTJOIN(";",FALSE(),J23,E23,H23)</f>
        <v>Q9;Unknown;1</v>
      </c>
      <c r="L23" s="36"/>
    </row>
    <row r="24" customFormat="false" ht="42" hidden="false" customHeight="true" outlineLevel="0" collapsed="false">
      <c r="B24" s="24"/>
      <c r="C24" s="24"/>
      <c r="D24" s="24" t="s">
        <v>42</v>
      </c>
      <c r="E24" s="31" t="s">
        <v>29</v>
      </c>
      <c r="F24" s="33"/>
      <c r="G24" s="33" t="s">
        <v>43</v>
      </c>
      <c r="H24" s="34" t="n">
        <v>1</v>
      </c>
      <c r="I24" s="34" t="n">
        <f aca="false">I23+1</f>
        <v>10</v>
      </c>
      <c r="J24" s="35" t="str">
        <f aca="false">_xlfn.CONCAT("Q",I24)</f>
        <v>Q10</v>
      </c>
      <c r="K24" s="34" t="str">
        <f aca="false">_xlfn.TEXTJOIN(";",FALSE(),J24,E24,H24)</f>
        <v>Q10;Unknown;1</v>
      </c>
    </row>
    <row r="25" customFormat="false" ht="42" hidden="false" customHeight="true" outlineLevel="0" collapsed="false">
      <c r="B25" s="24" t="s">
        <v>44</v>
      </c>
      <c r="C25" s="24" t="s">
        <v>45</v>
      </c>
      <c r="D25" s="25" t="s">
        <v>46</v>
      </c>
      <c r="E25" s="26" t="s">
        <v>21</v>
      </c>
      <c r="F25" s="37" t="s">
        <v>47</v>
      </c>
      <c r="G25" s="28"/>
      <c r="H25" s="26" t="n">
        <v>1</v>
      </c>
      <c r="I25" s="29" t="n">
        <f aca="false">I24+1</f>
        <v>11</v>
      </c>
      <c r="J25" s="26" t="str">
        <f aca="false">_xlfn.CONCAT("Q",I25)</f>
        <v>Q11</v>
      </c>
      <c r="K25" s="29" t="str">
        <f aca="false">_xlfn.TEXTJOIN(";",FALSE(),J25,E25,H25)</f>
        <v>Q11;Yes;1</v>
      </c>
    </row>
    <row r="26" customFormat="false" ht="42" hidden="false" customHeight="true" outlineLevel="0" collapsed="false">
      <c r="B26" s="24"/>
      <c r="C26" s="24"/>
      <c r="D26" s="24" t="s">
        <v>48</v>
      </c>
      <c r="E26" s="31" t="s">
        <v>29</v>
      </c>
      <c r="F26" s="39" t="s">
        <v>49</v>
      </c>
      <c r="G26" s="33" t="s">
        <v>50</v>
      </c>
      <c r="H26" s="34" t="n">
        <v>1</v>
      </c>
      <c r="I26" s="34" t="n">
        <f aca="false">I25+1</f>
        <v>12</v>
      </c>
      <c r="J26" s="35" t="str">
        <f aca="false">_xlfn.CONCAT("Q",I26)</f>
        <v>Q12</v>
      </c>
      <c r="K26" s="34" t="str">
        <f aca="false">_xlfn.TEXTJOIN(";",FALSE(),J26,E26,H26)</f>
        <v>Q12;Unknown;1</v>
      </c>
    </row>
    <row r="27" customFormat="false" ht="42" hidden="false" customHeight="true" outlineLevel="0" collapsed="false">
      <c r="B27" s="24"/>
      <c r="C27" s="24"/>
      <c r="D27" s="25" t="s">
        <v>51</v>
      </c>
      <c r="E27" s="26" t="s">
        <v>21</v>
      </c>
      <c r="F27" s="28" t="s">
        <v>52</v>
      </c>
      <c r="G27" s="28"/>
      <c r="H27" s="26" t="n">
        <v>1</v>
      </c>
      <c r="I27" s="29" t="n">
        <f aca="false">I26+1</f>
        <v>13</v>
      </c>
      <c r="J27" s="26" t="str">
        <f aca="false">_xlfn.CONCAT("Q",I27)</f>
        <v>Q13</v>
      </c>
      <c r="K27" s="29" t="str">
        <f aca="false">_xlfn.TEXTJOIN(";",FALSE(),J27,E27,H27)</f>
        <v>Q13;Yes;1</v>
      </c>
    </row>
    <row r="28" customFormat="false" ht="42" hidden="false" customHeight="true" outlineLevel="0" collapsed="false">
      <c r="B28" s="24"/>
      <c r="C28" s="24"/>
      <c r="D28" s="24" t="s">
        <v>53</v>
      </c>
      <c r="E28" s="31" t="s">
        <v>29</v>
      </c>
      <c r="F28" s="33"/>
      <c r="G28" s="33" t="s">
        <v>50</v>
      </c>
      <c r="H28" s="34" t="n">
        <v>1</v>
      </c>
      <c r="I28" s="34" t="n">
        <f aca="false">I27+1</f>
        <v>14</v>
      </c>
      <c r="J28" s="35" t="str">
        <f aca="false">_xlfn.CONCAT("Q",I28)</f>
        <v>Q14</v>
      </c>
      <c r="K28" s="34" t="str">
        <f aca="false">_xlfn.TEXTJOIN(";",FALSE(),J28,E28,H28)</f>
        <v>Q14;Unknown;1</v>
      </c>
      <c r="L28" s="36"/>
    </row>
    <row r="29" customFormat="false" ht="42" hidden="false" customHeight="true" outlineLevel="0" collapsed="false">
      <c r="B29" s="24"/>
      <c r="C29" s="24" t="s">
        <v>54</v>
      </c>
      <c r="D29" s="25" t="s">
        <v>55</v>
      </c>
      <c r="E29" s="26" t="s">
        <v>21</v>
      </c>
      <c r="F29" s="28" t="s">
        <v>56</v>
      </c>
      <c r="G29" s="28"/>
      <c r="H29" s="26" t="n">
        <v>1</v>
      </c>
      <c r="I29" s="29" t="n">
        <f aca="false">I28+1</f>
        <v>15</v>
      </c>
      <c r="J29" s="26" t="str">
        <f aca="false">_xlfn.CONCAT("Q",I29)</f>
        <v>Q15</v>
      </c>
      <c r="K29" s="29" t="str">
        <f aca="false">_xlfn.TEXTJOIN(";",FALSE(),J29,E29,H29)</f>
        <v>Q15;Yes;1</v>
      </c>
    </row>
    <row r="30" customFormat="false" ht="42" hidden="false" customHeight="true" outlineLevel="0" collapsed="false">
      <c r="B30" s="24"/>
      <c r="C30" s="24"/>
      <c r="D30" s="24" t="s">
        <v>57</v>
      </c>
      <c r="E30" s="31" t="s">
        <v>21</v>
      </c>
      <c r="F30" s="33" t="s">
        <v>58</v>
      </c>
      <c r="G30" s="33"/>
      <c r="H30" s="34" t="n">
        <v>1</v>
      </c>
      <c r="I30" s="34" t="n">
        <f aca="false">I29+1</f>
        <v>16</v>
      </c>
      <c r="J30" s="35" t="str">
        <f aca="false">_xlfn.CONCAT("Q",I30)</f>
        <v>Q16</v>
      </c>
      <c r="K30" s="34" t="str">
        <f aca="false">_xlfn.TEXTJOIN(";",FALSE(),J30,E30,H30)</f>
        <v>Q16;Yes;1</v>
      </c>
    </row>
    <row r="31" customFormat="false" ht="42" hidden="false" customHeight="true" outlineLevel="0" collapsed="false">
      <c r="B31" s="24"/>
      <c r="C31" s="24"/>
      <c r="D31" s="25" t="s">
        <v>59</v>
      </c>
      <c r="E31" s="26" t="s">
        <v>60</v>
      </c>
      <c r="F31" s="28" t="s">
        <v>61</v>
      </c>
      <c r="G31" s="28"/>
      <c r="H31" s="26" t="n">
        <v>1</v>
      </c>
      <c r="I31" s="29" t="n">
        <f aca="false">I30+1</f>
        <v>17</v>
      </c>
      <c r="J31" s="26" t="str">
        <f aca="false">_xlfn.CONCAT("Q",I31)</f>
        <v>Q17</v>
      </c>
      <c r="K31" s="29" t="str">
        <f aca="false">_xlfn.TEXTJOIN(";",FALSE(),J31,E31,H31)</f>
        <v>Q17;No;1</v>
      </c>
      <c r="L31" s="40"/>
    </row>
    <row r="32" customFormat="false" ht="42" hidden="false" customHeight="true" outlineLevel="0" collapsed="false">
      <c r="B32" s="24"/>
      <c r="C32" s="24" t="s">
        <v>62</v>
      </c>
      <c r="D32" s="24" t="s">
        <v>63</v>
      </c>
      <c r="E32" s="31" t="s">
        <v>21</v>
      </c>
      <c r="F32" s="39" t="s">
        <v>64</v>
      </c>
      <c r="G32" s="33"/>
      <c r="H32" s="34" t="n">
        <v>0.25</v>
      </c>
      <c r="I32" s="34" t="n">
        <f aca="false">I31+1</f>
        <v>18</v>
      </c>
      <c r="J32" s="35" t="str">
        <f aca="false">_xlfn.CONCAT("Q",I32)</f>
        <v>Q18</v>
      </c>
      <c r="K32" s="34" t="str">
        <f aca="false">_xlfn.TEXTJOIN(";",FALSE(),J32,E32,H32)</f>
        <v>Q18;Yes;0.25</v>
      </c>
    </row>
    <row r="33" customFormat="false" ht="42" hidden="false" customHeight="true" outlineLevel="0" collapsed="false">
      <c r="B33" s="24"/>
      <c r="C33" s="24"/>
      <c r="D33" s="41" t="s">
        <v>65</v>
      </c>
      <c r="E33" s="26" t="s">
        <v>29</v>
      </c>
      <c r="F33" s="28" t="s">
        <v>66</v>
      </c>
      <c r="G33" s="28" t="s">
        <v>67</v>
      </c>
      <c r="H33" s="26" t="n">
        <v>0.25</v>
      </c>
      <c r="I33" s="29" t="n">
        <f aca="false">I32+1</f>
        <v>19</v>
      </c>
      <c r="J33" s="26" t="str">
        <f aca="false">_xlfn.CONCAT("Q",I33)</f>
        <v>Q19</v>
      </c>
      <c r="K33" s="29" t="str">
        <f aca="false">_xlfn.TEXTJOIN(";",FALSE(),J33,E33,H33)</f>
        <v>Q19;Unknown;0.25</v>
      </c>
    </row>
    <row r="34" customFormat="false" ht="42" hidden="false" customHeight="true" outlineLevel="0" collapsed="false">
      <c r="B34" s="24"/>
      <c r="C34" s="24"/>
      <c r="D34" s="42" t="s">
        <v>68</v>
      </c>
      <c r="E34" s="31" t="s">
        <v>29</v>
      </c>
      <c r="F34" s="33"/>
      <c r="G34" s="33" t="s">
        <v>69</v>
      </c>
      <c r="H34" s="34" t="n">
        <v>0.25</v>
      </c>
      <c r="I34" s="34" t="n">
        <f aca="false">I33+1</f>
        <v>20</v>
      </c>
      <c r="J34" s="35" t="str">
        <f aca="false">_xlfn.CONCAT("Q",I34)</f>
        <v>Q20</v>
      </c>
      <c r="K34" s="34" t="str">
        <f aca="false">_xlfn.TEXTJOIN(";",FALSE(),J34,E34,H34)</f>
        <v>Q20;Unknown;0.25</v>
      </c>
    </row>
    <row r="35" customFormat="false" ht="42" hidden="false" customHeight="true" outlineLevel="0" collapsed="false">
      <c r="B35" s="24"/>
      <c r="C35" s="24"/>
      <c r="D35" s="41" t="s">
        <v>70</v>
      </c>
      <c r="E35" s="26" t="s">
        <v>29</v>
      </c>
      <c r="F35" s="28"/>
      <c r="G35" s="28" t="s">
        <v>71</v>
      </c>
      <c r="H35" s="26" t="n">
        <v>0.25</v>
      </c>
      <c r="I35" s="29" t="n">
        <f aca="false">I34+1</f>
        <v>21</v>
      </c>
      <c r="J35" s="26" t="str">
        <f aca="false">_xlfn.CONCAT("Q",I35)</f>
        <v>Q21</v>
      </c>
      <c r="K35" s="29" t="str">
        <f aca="false">_xlfn.TEXTJOIN(";",FALSE(),J35,E35,H35)</f>
        <v>Q21;Unknown;0.25</v>
      </c>
    </row>
    <row r="36" customFormat="false" ht="42" hidden="false" customHeight="true" outlineLevel="0" collapsed="false">
      <c r="B36" s="24"/>
      <c r="C36" s="24"/>
      <c r="D36" s="24" t="s">
        <v>72</v>
      </c>
      <c r="E36" s="31" t="s">
        <v>21</v>
      </c>
      <c r="F36" s="33" t="s">
        <v>73</v>
      </c>
      <c r="G36" s="33"/>
      <c r="H36" s="34" t="n">
        <v>1</v>
      </c>
      <c r="I36" s="34" t="n">
        <f aca="false">I35+1</f>
        <v>22</v>
      </c>
      <c r="J36" s="35" t="str">
        <f aca="false">_xlfn.CONCAT("Q",I36)</f>
        <v>Q22</v>
      </c>
      <c r="K36" s="34" t="str">
        <f aca="false">_xlfn.TEXTJOIN(";",FALSE(),J36,E36,H36)</f>
        <v>Q22;Yes;1</v>
      </c>
    </row>
    <row r="37" customFormat="false" ht="42" hidden="false" customHeight="true" outlineLevel="0" collapsed="false">
      <c r="B37" s="24"/>
      <c r="C37" s="24"/>
      <c r="D37" s="25" t="s">
        <v>74</v>
      </c>
      <c r="E37" s="26" t="s">
        <v>29</v>
      </c>
      <c r="F37" s="28"/>
      <c r="G37" s="28" t="s">
        <v>75</v>
      </c>
      <c r="H37" s="26" t="n">
        <v>1</v>
      </c>
      <c r="I37" s="29" t="n">
        <f aca="false">I36+1</f>
        <v>23</v>
      </c>
      <c r="J37" s="26" t="str">
        <f aca="false">_xlfn.CONCAT("Q",I37)</f>
        <v>Q23</v>
      </c>
      <c r="K37" s="29" t="str">
        <f aca="false">_xlfn.TEXTJOIN(";",FALSE(),J37,E37,H37)</f>
        <v>Q23;Unknown;1</v>
      </c>
    </row>
    <row r="38" customFormat="false" ht="42" hidden="false" customHeight="true" outlineLevel="0" collapsed="false">
      <c r="B38" s="24"/>
      <c r="C38" s="24"/>
      <c r="D38" s="24" t="s">
        <v>76</v>
      </c>
      <c r="E38" s="31" t="s">
        <v>21</v>
      </c>
      <c r="F38" s="39" t="s">
        <v>77</v>
      </c>
      <c r="G38" s="33"/>
      <c r="H38" s="34" t="n">
        <v>1</v>
      </c>
      <c r="I38" s="34" t="n">
        <f aca="false">I37+1</f>
        <v>24</v>
      </c>
      <c r="J38" s="35" t="str">
        <f aca="false">_xlfn.CONCAT("Q",I38)</f>
        <v>Q24</v>
      </c>
      <c r="K38" s="34" t="str">
        <f aca="false">_xlfn.TEXTJOIN(";",FALSE(),J38,E38,H38)</f>
        <v>Q24;Yes;1</v>
      </c>
    </row>
    <row r="39" customFormat="false" ht="42" hidden="false" customHeight="true" outlineLevel="0" collapsed="false">
      <c r="B39" s="24"/>
      <c r="C39" s="24"/>
      <c r="D39" s="25" t="s">
        <v>78</v>
      </c>
      <c r="E39" s="26" t="s">
        <v>21</v>
      </c>
      <c r="F39" s="28" t="s">
        <v>79</v>
      </c>
      <c r="G39" s="28"/>
      <c r="H39" s="26" t="n">
        <v>1</v>
      </c>
      <c r="I39" s="29" t="n">
        <f aca="false">I38+1</f>
        <v>25</v>
      </c>
      <c r="J39" s="26" t="str">
        <f aca="false">_xlfn.CONCAT("Q",I39)</f>
        <v>Q25</v>
      </c>
      <c r="K39" s="29" t="str">
        <f aca="false">_xlfn.TEXTJOIN(";",FALSE(),J39,E39,H39)</f>
        <v>Q25;Yes;1</v>
      </c>
    </row>
    <row r="40" customFormat="false" ht="42" hidden="false" customHeight="true" outlineLevel="0" collapsed="false">
      <c r="B40" s="24"/>
      <c r="C40" s="24"/>
      <c r="D40" s="24" t="s">
        <v>80</v>
      </c>
      <c r="E40" s="31" t="s">
        <v>29</v>
      </c>
      <c r="F40" s="33"/>
      <c r="G40" s="33" t="s">
        <v>81</v>
      </c>
      <c r="H40" s="34" t="n">
        <v>1</v>
      </c>
      <c r="I40" s="34" t="n">
        <f aca="false">I39+1</f>
        <v>26</v>
      </c>
      <c r="J40" s="35" t="str">
        <f aca="false">_xlfn.CONCAT("Q",I40)</f>
        <v>Q26</v>
      </c>
      <c r="K40" s="34" t="str">
        <f aca="false">_xlfn.TEXTJOIN(";",FALSE(),J40,E40,H40)</f>
        <v>Q26;Unknown;1</v>
      </c>
    </row>
    <row r="41" customFormat="false" ht="42" hidden="false" customHeight="true" outlineLevel="0" collapsed="false">
      <c r="B41" s="43" t="s">
        <v>82</v>
      </c>
      <c r="C41" s="24" t="s">
        <v>83</v>
      </c>
      <c r="D41" s="44" t="s">
        <v>84</v>
      </c>
      <c r="E41" s="26" t="s">
        <v>60</v>
      </c>
      <c r="F41" s="28" t="s">
        <v>85</v>
      </c>
      <c r="G41" s="28" t="s">
        <v>86</v>
      </c>
      <c r="H41" s="29" t="n">
        <v>1</v>
      </c>
      <c r="I41" s="29" t="n">
        <f aca="false">I40+1</f>
        <v>27</v>
      </c>
      <c r="J41" s="26" t="str">
        <f aca="false">_xlfn.CONCAT("Q",I41)</f>
        <v>Q27</v>
      </c>
      <c r="K41" s="29" t="str">
        <f aca="false">_xlfn.TEXTJOIN(";",FALSE(),J41,E41,H41)</f>
        <v>Q27;No;1</v>
      </c>
    </row>
    <row r="42" customFormat="false" ht="42" hidden="false" customHeight="true" outlineLevel="0" collapsed="false">
      <c r="B42" s="43"/>
      <c r="C42" s="24"/>
      <c r="D42" s="45" t="s">
        <v>87</v>
      </c>
      <c r="E42" s="31" t="s">
        <v>21</v>
      </c>
      <c r="F42" s="33" t="s">
        <v>88</v>
      </c>
      <c r="G42" s="33" t="s">
        <v>89</v>
      </c>
      <c r="H42" s="35" t="n">
        <v>1</v>
      </c>
      <c r="I42" s="34" t="n">
        <f aca="false">I41+1</f>
        <v>28</v>
      </c>
      <c r="J42" s="35" t="str">
        <f aca="false">_xlfn.CONCAT("Q",I42)</f>
        <v>Q28</v>
      </c>
      <c r="K42" s="34" t="str">
        <f aca="false">_xlfn.TEXTJOIN(";",FALSE(),J42,E42,H42)</f>
        <v>Q28;Yes;1</v>
      </c>
    </row>
    <row r="43" customFormat="false" ht="42" hidden="false" customHeight="true" outlineLevel="0" collapsed="false">
      <c r="B43" s="43"/>
      <c r="C43" s="24"/>
      <c r="D43" s="44" t="s">
        <v>90</v>
      </c>
      <c r="E43" s="26" t="s">
        <v>29</v>
      </c>
      <c r="F43" s="28" t="s">
        <v>91</v>
      </c>
      <c r="G43" s="28"/>
      <c r="H43" s="29" t="n">
        <v>1</v>
      </c>
      <c r="I43" s="29" t="n">
        <f aca="false">I42+1</f>
        <v>29</v>
      </c>
      <c r="J43" s="26" t="str">
        <f aca="false">_xlfn.CONCAT("Q",I43)</f>
        <v>Q29</v>
      </c>
      <c r="K43" s="29" t="str">
        <f aca="false">_xlfn.TEXTJOIN(";",FALSE(),J43,E43,H43)</f>
        <v>Q29;Unknown;1</v>
      </c>
    </row>
    <row r="44" customFormat="false" ht="42" hidden="false" customHeight="true" outlineLevel="0" collapsed="false">
      <c r="B44" s="43"/>
      <c r="C44" s="24" t="s">
        <v>92</v>
      </c>
      <c r="D44" s="45" t="s">
        <v>93</v>
      </c>
      <c r="E44" s="31" t="s">
        <v>21</v>
      </c>
      <c r="F44" s="33" t="s">
        <v>94</v>
      </c>
      <c r="G44" s="33"/>
      <c r="H44" s="35" t="n">
        <v>1</v>
      </c>
      <c r="I44" s="34" t="n">
        <f aca="false">I43+1</f>
        <v>30</v>
      </c>
      <c r="J44" s="35" t="str">
        <f aca="false">_xlfn.CONCAT("Q",I44)</f>
        <v>Q30</v>
      </c>
      <c r="K44" s="34" t="str">
        <f aca="false">_xlfn.TEXTJOIN(";",FALSE(),J44,E44,H44)</f>
        <v>Q30;Yes;1</v>
      </c>
    </row>
    <row r="45" customFormat="false" ht="42" hidden="false" customHeight="true" outlineLevel="0" collapsed="false">
      <c r="B45" s="43"/>
      <c r="C45" s="24"/>
      <c r="D45" s="44" t="s">
        <v>95</v>
      </c>
      <c r="E45" s="26" t="s">
        <v>29</v>
      </c>
      <c r="F45" s="28"/>
      <c r="G45" s="28"/>
      <c r="H45" s="29" t="n">
        <v>1</v>
      </c>
      <c r="I45" s="29" t="n">
        <f aca="false">I44+1</f>
        <v>31</v>
      </c>
      <c r="J45" s="26" t="str">
        <f aca="false">_xlfn.CONCAT("Q",I45)</f>
        <v>Q31</v>
      </c>
      <c r="K45" s="29" t="str">
        <f aca="false">_xlfn.TEXTJOIN(";",FALSE(),J45,E45,H45)</f>
        <v>Q31;Unknown;1</v>
      </c>
    </row>
    <row r="46" customFormat="false" ht="42" hidden="false" customHeight="true" outlineLevel="0" collapsed="false">
      <c r="B46" s="43"/>
      <c r="C46" s="24"/>
      <c r="D46" s="45" t="s">
        <v>96</v>
      </c>
      <c r="E46" s="31" t="s">
        <v>60</v>
      </c>
      <c r="F46" s="33" t="s">
        <v>97</v>
      </c>
      <c r="G46" s="33"/>
      <c r="H46" s="35" t="n">
        <v>1</v>
      </c>
      <c r="I46" s="34" t="n">
        <f aca="false">I45+1</f>
        <v>32</v>
      </c>
      <c r="J46" s="35" t="str">
        <f aca="false">_xlfn.CONCAT("Q",I46)</f>
        <v>Q32</v>
      </c>
      <c r="K46" s="34" t="str">
        <f aca="false">_xlfn.TEXTJOIN(";",FALSE(),J46,E46,H46)</f>
        <v>Q32;No;1</v>
      </c>
    </row>
    <row r="47" customFormat="false" ht="42" hidden="false" customHeight="true" outlineLevel="0" collapsed="false">
      <c r="B47" s="43"/>
      <c r="C47" s="24"/>
      <c r="D47" s="44" t="s">
        <v>98</v>
      </c>
      <c r="E47" s="26" t="s">
        <v>29</v>
      </c>
      <c r="F47" s="28" t="s">
        <v>99</v>
      </c>
      <c r="G47" s="28"/>
      <c r="H47" s="29" t="n">
        <v>1</v>
      </c>
      <c r="I47" s="29" t="n">
        <f aca="false">I46+1</f>
        <v>33</v>
      </c>
      <c r="J47" s="26" t="str">
        <f aca="false">_xlfn.CONCAT("Q",I47)</f>
        <v>Q33</v>
      </c>
      <c r="K47" s="29" t="str">
        <f aca="false">_xlfn.TEXTJOIN(";",FALSE(),J47,E47,H47)</f>
        <v>Q33;Unknown;1</v>
      </c>
    </row>
    <row r="48" customFormat="false" ht="42" hidden="false" customHeight="true" outlineLevel="0" collapsed="false">
      <c r="B48" s="43"/>
      <c r="C48" s="24" t="s">
        <v>100</v>
      </c>
      <c r="D48" s="45" t="s">
        <v>101</v>
      </c>
      <c r="E48" s="31" t="s">
        <v>21</v>
      </c>
      <c r="F48" s="33" t="s">
        <v>102</v>
      </c>
      <c r="G48" s="33"/>
      <c r="H48" s="35" t="n">
        <v>1</v>
      </c>
      <c r="I48" s="34" t="n">
        <f aca="false">I47+1</f>
        <v>34</v>
      </c>
      <c r="J48" s="35" t="str">
        <f aca="false">_xlfn.CONCAT("Q",I48)</f>
        <v>Q34</v>
      </c>
      <c r="K48" s="34" t="str">
        <f aca="false">_xlfn.TEXTJOIN(";",FALSE(),J48,E48,H48)</f>
        <v>Q34;Yes;1</v>
      </c>
    </row>
    <row r="49" customFormat="false" ht="42" hidden="false" customHeight="true" outlineLevel="0" collapsed="false">
      <c r="B49" s="43"/>
      <c r="C49" s="24"/>
      <c r="D49" s="44" t="s">
        <v>103</v>
      </c>
      <c r="E49" s="26" t="s">
        <v>29</v>
      </c>
      <c r="F49" s="28"/>
      <c r="G49" s="28" t="s">
        <v>104</v>
      </c>
      <c r="H49" s="29" t="n">
        <v>1</v>
      </c>
      <c r="I49" s="29" t="n">
        <f aca="false">I48+1</f>
        <v>35</v>
      </c>
      <c r="J49" s="26" t="str">
        <f aca="false">_xlfn.CONCAT("Q",I49)</f>
        <v>Q35</v>
      </c>
      <c r="K49" s="29" t="str">
        <f aca="false">_xlfn.TEXTJOIN(";",FALSE(),J49,E49,H49)</f>
        <v>Q35;Unknown;1</v>
      </c>
    </row>
    <row r="50" customFormat="false" ht="42" hidden="false" customHeight="true" outlineLevel="0" collapsed="false">
      <c r="B50" s="43"/>
      <c r="C50" s="24"/>
      <c r="D50" s="45" t="s">
        <v>105</v>
      </c>
      <c r="E50" s="31" t="s">
        <v>29</v>
      </c>
      <c r="F50" s="33"/>
      <c r="G50" s="33" t="s">
        <v>104</v>
      </c>
      <c r="H50" s="35" t="n">
        <v>1</v>
      </c>
      <c r="I50" s="34" t="n">
        <f aca="false">I49+1</f>
        <v>36</v>
      </c>
      <c r="J50" s="35" t="str">
        <f aca="false">_xlfn.CONCAT("Q",I50)</f>
        <v>Q36</v>
      </c>
      <c r="K50" s="34" t="str">
        <f aca="false">_xlfn.TEXTJOIN(";",FALSE(),J50,E50,H50)</f>
        <v>Q36;Unknown;1</v>
      </c>
    </row>
    <row r="51" customFormat="false" ht="42" hidden="false" customHeight="true" outlineLevel="0" collapsed="false">
      <c r="B51" s="43" t="s">
        <v>106</v>
      </c>
      <c r="C51" s="24" t="s">
        <v>107</v>
      </c>
      <c r="D51" s="44" t="s">
        <v>108</v>
      </c>
      <c r="E51" s="26" t="s">
        <v>21</v>
      </c>
      <c r="F51" s="28" t="s">
        <v>109</v>
      </c>
      <c r="G51" s="28"/>
      <c r="H51" s="29" t="n">
        <v>1</v>
      </c>
      <c r="I51" s="29" t="n">
        <f aca="false">I50+1</f>
        <v>37</v>
      </c>
      <c r="J51" s="26" t="str">
        <f aca="false">_xlfn.CONCAT("Q",I51)</f>
        <v>Q37</v>
      </c>
      <c r="K51" s="29" t="str">
        <f aca="false">_xlfn.TEXTJOIN(";",FALSE(),J51,E51,H51)</f>
        <v>Q37;Yes;1</v>
      </c>
    </row>
    <row r="52" customFormat="false" ht="42" hidden="false" customHeight="true" outlineLevel="0" collapsed="false">
      <c r="B52" s="43"/>
      <c r="C52" s="24"/>
      <c r="D52" s="45" t="s">
        <v>110</v>
      </c>
      <c r="E52" s="31" t="s">
        <v>21</v>
      </c>
      <c r="F52" s="33" t="s">
        <v>111</v>
      </c>
      <c r="G52" s="33"/>
      <c r="H52" s="35" t="n">
        <v>1</v>
      </c>
      <c r="I52" s="34" t="n">
        <f aca="false">I51+1</f>
        <v>38</v>
      </c>
      <c r="J52" s="35" t="str">
        <f aca="false">_xlfn.CONCAT("Q",I52)</f>
        <v>Q38</v>
      </c>
      <c r="K52" s="34" t="str">
        <f aca="false">_xlfn.TEXTJOIN(";",FALSE(),J52,E52,H52)</f>
        <v>Q38;Yes;1</v>
      </c>
    </row>
    <row r="53" customFormat="false" ht="42" hidden="false" customHeight="true" outlineLevel="0" collapsed="false">
      <c r="B53" s="43"/>
      <c r="C53" s="24"/>
      <c r="D53" s="44" t="s">
        <v>112</v>
      </c>
      <c r="E53" s="26" t="s">
        <v>21</v>
      </c>
      <c r="F53" s="28" t="s">
        <v>113</v>
      </c>
      <c r="G53" s="28"/>
      <c r="H53" s="29" t="n">
        <v>1</v>
      </c>
      <c r="I53" s="29" t="n">
        <f aca="false">I52+1</f>
        <v>39</v>
      </c>
      <c r="J53" s="26" t="str">
        <f aca="false">_xlfn.CONCAT("Q",I53)</f>
        <v>Q39</v>
      </c>
      <c r="K53" s="29" t="str">
        <f aca="false">_xlfn.TEXTJOIN(";",FALSE(),J53,E53,H53)</f>
        <v>Q39;Yes;1</v>
      </c>
    </row>
    <row r="54" customFormat="false" ht="42" hidden="false" customHeight="true" outlineLevel="0" collapsed="false">
      <c r="B54" s="43"/>
      <c r="C54" s="24"/>
      <c r="D54" s="45" t="s">
        <v>114</v>
      </c>
      <c r="E54" s="31" t="s">
        <v>21</v>
      </c>
      <c r="F54" s="33" t="s">
        <v>115</v>
      </c>
      <c r="G54" s="33"/>
      <c r="H54" s="35" t="n">
        <v>1</v>
      </c>
      <c r="I54" s="34" t="n">
        <f aca="false">I53+1</f>
        <v>40</v>
      </c>
      <c r="J54" s="35" t="str">
        <f aca="false">_xlfn.CONCAT("Q",I54)</f>
        <v>Q40</v>
      </c>
      <c r="K54" s="34" t="str">
        <f aca="false">_xlfn.TEXTJOIN(";",FALSE(),J54,E54,H54)</f>
        <v>Q40;Yes;1</v>
      </c>
    </row>
    <row r="55" customFormat="false" ht="42" hidden="false" customHeight="true" outlineLevel="0" collapsed="false">
      <c r="B55" s="43"/>
      <c r="C55" s="24" t="s">
        <v>116</v>
      </c>
      <c r="D55" s="44" t="s">
        <v>117</v>
      </c>
      <c r="E55" s="26" t="s">
        <v>21</v>
      </c>
      <c r="F55" s="28" t="s">
        <v>118</v>
      </c>
      <c r="G55" s="28"/>
      <c r="H55" s="29" t="n">
        <v>1</v>
      </c>
      <c r="I55" s="29" t="n">
        <f aca="false">I54+1</f>
        <v>41</v>
      </c>
      <c r="J55" s="26" t="str">
        <f aca="false">_xlfn.CONCAT("Q",I55)</f>
        <v>Q41</v>
      </c>
      <c r="K55" s="29" t="str">
        <f aca="false">_xlfn.TEXTJOIN(";",FALSE(),J55,E55,H55)</f>
        <v>Q41;Yes;1</v>
      </c>
    </row>
    <row r="56" customFormat="false" ht="42" hidden="false" customHeight="true" outlineLevel="0" collapsed="false">
      <c r="B56" s="43"/>
      <c r="C56" s="24"/>
      <c r="D56" s="45" t="s">
        <v>119</v>
      </c>
      <c r="E56" s="31" t="s">
        <v>29</v>
      </c>
      <c r="F56" s="33" t="s">
        <v>120</v>
      </c>
      <c r="G56" s="33" t="s">
        <v>121</v>
      </c>
      <c r="H56" s="35" t="n">
        <v>1</v>
      </c>
      <c r="I56" s="34" t="n">
        <f aca="false">I55+1</f>
        <v>42</v>
      </c>
      <c r="J56" s="35" t="str">
        <f aca="false">_xlfn.CONCAT("Q",I56)</f>
        <v>Q42</v>
      </c>
      <c r="K56" s="34" t="str">
        <f aca="false">_xlfn.TEXTJOIN(";",FALSE(),J56,E56,H56)</f>
        <v>Q42;Unknown;1</v>
      </c>
    </row>
    <row r="57" customFormat="false" ht="42" hidden="false" customHeight="true" outlineLevel="0" collapsed="false">
      <c r="B57" s="43"/>
      <c r="C57" s="24"/>
      <c r="D57" s="44" t="s">
        <v>122</v>
      </c>
      <c r="E57" s="26" t="s">
        <v>21</v>
      </c>
      <c r="F57" s="28" t="s">
        <v>123</v>
      </c>
      <c r="G57" s="28"/>
      <c r="H57" s="29" t="n">
        <v>1</v>
      </c>
      <c r="I57" s="29" t="n">
        <f aca="false">I56+1</f>
        <v>43</v>
      </c>
      <c r="J57" s="26" t="str">
        <f aca="false">_xlfn.CONCAT("Q",I57)</f>
        <v>Q43</v>
      </c>
      <c r="K57" s="29" t="str">
        <f aca="false">_xlfn.TEXTJOIN(";",FALSE(),J57,E57,H57)</f>
        <v>Q43;Yes;1</v>
      </c>
    </row>
    <row r="58" customFormat="false" ht="42" hidden="false" customHeight="true" outlineLevel="0" collapsed="false">
      <c r="B58" s="43" t="s">
        <v>124</v>
      </c>
      <c r="C58" s="43" t="s">
        <v>124</v>
      </c>
      <c r="D58" s="45" t="s">
        <v>125</v>
      </c>
      <c r="E58" s="31" t="s">
        <v>60</v>
      </c>
      <c r="F58" s="32" t="s">
        <v>126</v>
      </c>
      <c r="G58" s="33"/>
      <c r="H58" s="35" t="n">
        <v>1</v>
      </c>
      <c r="I58" s="34" t="n">
        <f aca="false">I57+1</f>
        <v>44</v>
      </c>
      <c r="J58" s="35" t="str">
        <f aca="false">_xlfn.CONCAT("Q",I58)</f>
        <v>Q44</v>
      </c>
      <c r="K58" s="34" t="str">
        <f aca="false">_xlfn.TEXTJOIN(";",FALSE(),J58,E58,H58)</f>
        <v>Q44;No;1</v>
      </c>
    </row>
    <row r="59" customFormat="false" ht="42" hidden="false" customHeight="true" outlineLevel="0" collapsed="false">
      <c r="B59" s="43"/>
      <c r="C59" s="43"/>
      <c r="D59" s="44" t="s">
        <v>127</v>
      </c>
      <c r="E59" s="26" t="s">
        <v>60</v>
      </c>
      <c r="F59" s="28" t="s">
        <v>128</v>
      </c>
      <c r="G59" s="28"/>
      <c r="H59" s="29" t="n">
        <v>1</v>
      </c>
      <c r="I59" s="29" t="n">
        <f aca="false">I58+1</f>
        <v>45</v>
      </c>
      <c r="J59" s="26" t="str">
        <f aca="false">_xlfn.CONCAT("Q",I59)</f>
        <v>Q45</v>
      </c>
      <c r="K59" s="29" t="str">
        <f aca="false">_xlfn.TEXTJOIN(";",FALSE(),J59,E59,H59)</f>
        <v>Q45;No;1</v>
      </c>
    </row>
    <row r="60" customFormat="false" ht="42" hidden="false" customHeight="true" outlineLevel="0" collapsed="false">
      <c r="B60" s="43"/>
      <c r="C60" s="43"/>
      <c r="D60" s="45" t="s">
        <v>129</v>
      </c>
      <c r="E60" s="31" t="s">
        <v>21</v>
      </c>
      <c r="F60" s="33" t="s">
        <v>130</v>
      </c>
      <c r="G60" s="46"/>
      <c r="H60" s="35" t="n">
        <v>1</v>
      </c>
      <c r="I60" s="34" t="n">
        <f aca="false">I59+1</f>
        <v>46</v>
      </c>
      <c r="J60" s="35" t="str">
        <f aca="false">_xlfn.CONCAT("Q",I60)</f>
        <v>Q46</v>
      </c>
      <c r="K60" s="34" t="str">
        <f aca="false">_xlfn.TEXTJOIN(";",FALSE(),J60,E60,H60)</f>
        <v>Q46;Yes;1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G15:G19 F16:F19 F20:G60" type="none">
      <formula1>0</formula1>
      <formula2>0</formula2>
    </dataValidation>
  </dataValidations>
  <hyperlinks>
    <hyperlink ref="B7" r:id="rId1" display="https://cat-ddo-drm-diagnostic-dashboard-129737065802.us-central1.run.app/"/>
    <hyperlink ref="F16" r:id="rId2" display="https://boe.incv.cv/Bulletins/View?id=86458"/>
    <hyperlink ref="F18" r:id="rId3" display="Probably yes, but no information a this level of detail in the budget. https://boe.incv.cv/Bulletins/View?id=89137"/>
    <hyperlink ref="F19" r:id="rId4" display="PEDS II, pag 160 https://portaldoclima.gov.cv/wp-content/uploads/2023/11/PLANO-ESTRATEGICO-DE-DESENVOLVIMENTO-SUSTENTAVEL-2022-2026-PEDS-II.pdf"/>
    <hyperlink ref="F22" r:id="rId5" display="I couldn't manage to access the hazard data through the different available platforms...This one seems to have the data but it is not working anymore https://idecv.gov.cv/apps/idecv-visor/explore"/>
    <hyperlink ref="F25" r:id="rId6" display="Supported by Cat DDO 1, regulations https://ingt.gov.cv/ingt/wp-admin/admin-ajax.php?juwpfisadmin=false&amp;action=wpfd&amp;task=file.download&amp;wpfd_category_id=37&amp;wpfd_file_id=2607&amp;token=&amp;preview=1"/>
    <hyperlink ref="F26" r:id="rId7" location="42-37-ordenamento-territorio" display="Regulations are comprehensive but do not discuss methodologies. If it exists, this document is probably internal and use for firm procurement https://ingt.gov.cv/ingt/documentos/#42-37-ordenamento-territorio"/>
    <hyperlink ref="F32" r:id="rId8" display="Not fully sure, but I think Estradas CV had some norms that apply here. https://home.estradas.cv/index.php/documentos/normas/category/8-normas"/>
    <hyperlink ref="F38" r:id="rId9" display="The CAS provides the overarching framework  https://ampeid.org/documents/cabo-verde/legislative-decree-no-3-2015-approving-the-water-and-sanitation-code-(cas)/"/>
    <hyperlink ref="F58" r:id="rId10" display="There is a provision for the creation of the committee but it seems it is to be created on an ad-hoc basis&#10;Gabinete de Gestao de Recuperacao. Art 2. https://faolex.fao.org/docs/pdf/cvi183018.pd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285</TotalTime>
  <Application>LibreOffice/26.2.1.2$Windows_X86_64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2026-03-06T00:26:52Z</dcterms:modified>
  <cp:revision>52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