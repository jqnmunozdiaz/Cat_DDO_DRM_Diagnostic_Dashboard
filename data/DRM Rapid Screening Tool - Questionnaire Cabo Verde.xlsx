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0" documentId="8_{9E584826-114E-4308-8663-31D1F022A0FE}" xr6:coauthVersionLast="47" xr6:coauthVersionMax="47" xr10:uidLastSave="{00000000-0000-0000-0000-000000000000}"/>
  <bookViews>
    <workbookView xWindow="0" yWindow="0" windowWidth="16384" windowHeight="8192" tabRatio="500" xr2:uid="{00000000-000D-0000-FFFF-FFFF00000000}"/>
  </bookViews>
  <sheets>
    <sheet name="DRM Diagnostic"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61" i="1" l="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G8" i="1"/>
  <c r="B10" i="1" s="1"/>
</calcChain>
</file>

<file path=xl/sharedStrings.xml><?xml version="1.0" encoding="utf-8"?>
<sst xmlns="http://schemas.openxmlformats.org/spreadsheetml/2006/main" count="239" uniqueCount="192">
  <si>
    <t>Disaster Risk Management Policy Diagnostic Tool</t>
  </si>
  <si>
    <t>Instructions</t>
  </si>
  <si>
    <t>1. Answer the questions below.</t>
  </si>
  <si>
    <t>2. Go to the following website.</t>
  </si>
  <si>
    <t>https://cat-ddo-drm-diagnostic-dashboard-129737065802.us-central1.run.app/</t>
  </si>
  <si>
    <t>Blanks</t>
  </si>
  <si>
    <t>3. Copy and Paste Cell B10 to the website</t>
  </si>
  <si>
    <t xml:space="preserve"> </t>
  </si>
  <si>
    <t>* Essential government entities refer to the main ministry or agency in charge of the followings eight sectors: Agriculture, Education, Housing, Health, Energy, Tourism, Transport, Water and Sanitation.</t>
  </si>
  <si>
    <t>DRM Pillar</t>
  </si>
  <si>
    <t>Thematic Area</t>
  </si>
  <si>
    <t>Question</t>
  </si>
  <si>
    <t>Answer 
(Yes/No/Unknown)</t>
  </si>
  <si>
    <t>Weight</t>
  </si>
  <si>
    <t>No.</t>
  </si>
  <si>
    <r>
      <rPr>
        <sz val="11"/>
        <color rgb="FF000000"/>
        <rFont val="Aptos Narrow"/>
      </rPr>
      <t xml:space="preserve">Support </t>
    </r>
    <r>
      <rPr>
        <sz val="11"/>
        <color rgb="FFFF0000"/>
        <rFont val="Aptos Narrow"/>
      </rPr>
      <t>(include electronic links when available)</t>
    </r>
  </si>
  <si>
    <r>
      <rPr>
        <sz val="11"/>
        <color rgb="FF000000"/>
        <rFont val="Aptos Narrow"/>
      </rPr>
      <t xml:space="preserve">Comments/ </t>
    </r>
    <r>
      <rPr>
        <sz val="11"/>
        <color rgb="FFFF0000"/>
        <rFont val="Aptos Narrow"/>
      </rPr>
      <t>Points to be highlighted as part of the findings</t>
    </r>
  </si>
  <si>
    <t>1. Legal and Institutional DRM Framework</t>
  </si>
  <si>
    <t>1.1. DRM policies and institutions</t>
  </si>
  <si>
    <t>Is there a legal framework (e.g., a DRM law or other legally-binding instruments) defining distinct responsibilities for disaster risk reduction and emergency management?</t>
  </si>
  <si>
    <t>Yes</t>
  </si>
  <si>
    <t>Q1</t>
  </si>
  <si>
    <t xml:space="preserve">Lei de Bases Gerais da Proteção Civil, pela Lei n.º 12/VIII/2012 defines distinct responsabilities (Art. 4) but puts both under the responsability of SNPC (see: https://boe.incv.cv/Bulletins/View/14954) </t>
  </si>
  <si>
    <t>Is there an opportunity/ political apetite to assign DRR responsabilities to a high-level entitiy in charge of planning development and with the ability to coordinate accross sectors? e.g. DNP?</t>
  </si>
  <si>
    <t xml:space="preserve">Did the institution responsible for coordinating or leading DRM activities receive dedicated funding for these functions in the last fiscal year? </t>
  </si>
  <si>
    <t>Unknown</t>
  </si>
  <si>
    <t>Q2</t>
  </si>
  <si>
    <t>Probably yes, but no information a this level of detail in the budget.  https://boe.incv.cv/Bulletins/View?id=89137</t>
  </si>
  <si>
    <r>
      <rPr>
        <sz val="11"/>
        <color rgb="FF000000"/>
        <rFont val="Aptos Narrow"/>
      </rPr>
      <t xml:space="preserve">Have DRM policy instruments  (e.g., DRM strategies or policies) </t>
    </r>
    <r>
      <rPr>
        <sz val="11"/>
        <color rgb="FFFF0000"/>
        <rFont val="Aptos Narrow"/>
      </rPr>
      <t xml:space="preserve">reflecting progress towards the objetive lay out in the DRM legal framework </t>
    </r>
    <r>
      <rPr>
        <sz val="11"/>
        <color rgb="FF000000"/>
        <rFont val="Aptos Narrow"/>
      </rPr>
      <t xml:space="preserve">been officially approved since the adoption of the DRM legal framework? </t>
    </r>
  </si>
  <si>
    <t>Q3</t>
  </si>
  <si>
    <t xml:space="preserve">ENRRD in 2017: https://portaldoclima.gov.cv/recurso/estrategia-nacional-de-reducao-de-riscos-de-desastres-2017/ </t>
  </si>
  <si>
    <t xml:space="preserve"> Además esta estrategia nunca se implementó. </t>
  </si>
  <si>
    <r>
      <rPr>
        <sz val="11"/>
        <color rgb="FF000000"/>
        <rFont val="Aptos Narrow"/>
      </rPr>
      <t>Have DRM-related regulations (e.g., rules on the structure or functions of the DRM agency</t>
    </r>
    <r>
      <rPr>
        <sz val="11"/>
        <color rgb="FFFF0000"/>
        <rFont val="Aptos Narrow"/>
      </rPr>
      <t xml:space="preserve"> or implementing regulations of the DRM la</t>
    </r>
    <r>
      <rPr>
        <sz val="11"/>
        <color rgb="FF000000"/>
        <rFont val="Aptos Narrow"/>
      </rPr>
      <t>w) been officially approved since the adoption of the DRM legal framework?</t>
    </r>
  </si>
  <si>
    <t>Q4</t>
  </si>
  <si>
    <t>https://boe.incv.cv/Bulletins/View?id=86458</t>
  </si>
  <si>
    <t>1.2. Mainstreaming DRM into national and sectoral development plans</t>
  </si>
  <si>
    <t>Does the National Development Strategy (or equivalent national planning instrument) contain objectives, targets or indicators related to DRM and/or Climate Change Adaptation?</t>
  </si>
  <si>
    <t>Q5</t>
  </si>
  <si>
    <t>PEDS II, pag 160 https://portaldoclima.gov.cv/wp-content/uploads/2023/11/PLANO-ESTRATEGICO-DE-DESENVOLVIMENTO-SUSTENTAVEL-2022-2026-PEDS-II.pdf</t>
  </si>
  <si>
    <t>In many countries CCA =&gt; DRR, but I'm wondering if we should remove CCA and leave only DRM/CCA...</t>
  </si>
  <si>
    <r>
      <rPr>
        <sz val="11"/>
        <color rgb="FF000000"/>
        <rFont val="Aptos Narrow"/>
      </rPr>
      <t>Have at least 50% of essential government entities* included explicit DRM and/or Climate Change Adaptation targets and indicators in their most recent strategic planning documents (</t>
    </r>
    <r>
      <rPr>
        <sz val="11"/>
        <color rgb="FFFF0000"/>
        <rFont val="Aptos Narrow"/>
      </rPr>
      <t>e.g. Ministry of Health Strategic Plan, National Education Strategy/ Policy, National Water and Sanitation Master Plan...</t>
    </r>
    <r>
      <rPr>
        <sz val="11"/>
        <color rgb="FF000000"/>
        <rFont val="Aptos Narrow"/>
      </rPr>
      <t>)?</t>
    </r>
  </si>
  <si>
    <t>Q6</t>
  </si>
  <si>
    <t>Perhaps this indicator is too hard to compile...</t>
  </si>
  <si>
    <t>2. Risk Identification</t>
  </si>
  <si>
    <t>Do laws and regulations clearly define institutional responsibilities and mandates for producing, acquiring, and managing geospatial information, including risk information (e.g., hazard information, vulnerability assessments, risk profiles, historical disaster databases)?</t>
  </si>
  <si>
    <t>Q7</t>
  </si>
  <si>
    <t>INGT/INMG</t>
  </si>
  <si>
    <t xml:space="preserve">Is existing hazard and risk information available to all essential government entities (e.g., as evidenced through a set of MoUs or formal exchange mechanisms)? </t>
  </si>
  <si>
    <t>Q8</t>
  </si>
  <si>
    <t>Probably not if the open data platforms are not working</t>
  </si>
  <si>
    <t>To be asked to INGT during the mission? Quizás toca reformular un pelin la pregunta con algo tipo: "Is there official guidelines to support essential government entities acquiring hazard and/or conducting risk assessments? Evidence of these official guidelines can include for exaample: regulations on specific aspects of hazard/risk assessment, MoUs between thecnical entities in charge of risk/hazard assessment and essential governement entities or dedicated forma exchange mechanisms"</t>
  </si>
  <si>
    <t>Is existing hazard and risk information accessible to all citizens through open-data platforms?</t>
  </si>
  <si>
    <t>No</t>
  </si>
  <si>
    <t>Q9</t>
  </si>
  <si>
    <t>I couldn't manage to access the hazard data throught the different available platforms...This one seems to have the data but it is not usable https://idecv.gov.cv/apps/idecv-visor/explore</t>
  </si>
  <si>
    <t>https://idecv.gov.cv/apps/idecv-visor/explore 
https://ingt.maps.arcgis.com/apps/webappviewer/index.html?id=d2a7c59f23c34d3abf77f55ebad82de2
https://ingt.maps.arcgis.com/apps/mapviewer/index.html?layers=e98c362f1b624a03a3ca9da2fd3b6814
and so on...</t>
  </si>
  <si>
    <t>Do available national risk assessments or disaster risk profiles account for the potential impacts of climate change on hazard intensity and frequency?</t>
  </si>
  <si>
    <t>Q10</t>
  </si>
  <si>
    <t>3. Risk Reduction</t>
  </si>
  <si>
    <t>3.1. Territorial and urban planning</t>
  </si>
  <si>
    <t>Do laws and regulations mandate the use of risk information (e.g., hazard maps, risk assessments) to develop territorial, spatial, land use, or urban planning instruments?</t>
  </si>
  <si>
    <t>Q11</t>
  </si>
  <si>
    <t>Supported by Cat DDO 1, regulations https://ingt.gov.cv/ingt/wp-admin/admin-ajax.php?juwpfisadmin=false&amp;action=wpfd&amp;task=file.download&amp;wpfd_category_id=37&amp;wpfd_file_id=2607&amp;token=&amp;preview=1</t>
  </si>
  <si>
    <t xml:space="preserve">Do official methodologies to guide the development of risk-informed territorial, spatial, land use or urban planning instruments exist? </t>
  </si>
  <si>
    <t>Q12</t>
  </si>
  <si>
    <t>Regulations are comprehensive but does not discuss methodologies. If it exists, this document is probably internal and use for firm procurement https://ingt.gov.cv/ingt/documentos/#42-37-ordenamento-territorio</t>
  </si>
  <si>
    <t xml:space="preserve">To be asked to INGT during the mission? </t>
  </si>
  <si>
    <t>Do guidelines or procedures for managing housing/settlements located in high-risk areas exist?</t>
  </si>
  <si>
    <t>Q13</t>
  </si>
  <si>
    <t>Not a guideline, but this law governs informal settlements https://ingt.gov.cv/ingt/wp-admin/admin-ajax.php?juwpfisadmin=false&amp;action=wpfd&amp;task=file.download&amp;wpfd_category_id=38&amp;wpfd_file_id=2549&amp;token=&amp;preview=1</t>
  </si>
  <si>
    <t>Have at least 50% of the instruments (territorial, spatial, land use or urban planning) approved in the last four years used risk information (e.g., hazard maps, risk assessments)?</t>
  </si>
  <si>
    <t>Q14</t>
  </si>
  <si>
    <t>This indicator is probably too hard to quantify. Perhaps we can change the wording to something like : Over the past 4 years, has risk information (e.g., hazard maps, risk assessments) consistently informed the elaboration of territorial, spatial, land use or urban planning instruments (for example, answer yes if more than 50% of urban plans recently approved include risk considerations)
It is a bit more subjective but easier to answer</t>
  </si>
  <si>
    <t>ok agreed</t>
  </si>
  <si>
    <t>3.2. Public investment at the central level</t>
  </si>
  <si>
    <t>Do laws and regulations mandate disaster and climate risk screening as part of the appraisal of new public investment projects?</t>
  </si>
  <si>
    <t>Q15</t>
  </si>
  <si>
    <t>Reform supported as part of the last DPF series and evidenced in the new Decreto-Lei 54-2024: https://boe.incv.cv/Bulletins/Details/A2024/S1/BO105/6038</t>
  </si>
  <si>
    <t xml:space="preserve">Do official guidelines exist defining disaster and climate risk screening methodologies for new public investment projects? </t>
  </si>
  <si>
    <t>Q16</t>
  </si>
  <si>
    <t>See annex 1 of Decreto Lei 54-2024 and the pre-screening template developed with DNP (section 4- CDRS)</t>
  </si>
  <si>
    <t>Are risk mitigation measures mandatory for new projects that have been appraised as high-risk (or equivalent) through the disaster and climate screening process?</t>
  </si>
  <si>
    <t>Q17</t>
  </si>
  <si>
    <t>Risk mitigation measures are not mandatory but projects that do not include those measures when risk is high will receive less points for this aspect during the screening process - and thus will be less likely to be prioritized for incorporation and funding through the national budget</t>
  </si>
  <si>
    <t>3.3. Sector-specific risk reduction measures</t>
  </si>
  <si>
    <t>Are there legally binding standards or technical guidelines for the design and construction of disaster-resilient critical infrastructure in the following sectors: (1) transport (roads)</t>
  </si>
  <si>
    <t>Q18</t>
  </si>
  <si>
    <t>Not fully sure, but I think Estradas CV had some norms that apply here. https://home.estradas.cv/index.php/documentos/normas/category/8-normas</t>
  </si>
  <si>
    <t xml:space="preserve">(2) education (schools) </t>
  </si>
  <si>
    <t>Q19</t>
  </si>
  <si>
    <t xml:space="preserve">There should be, but I can't find the documents. There was TA provided by the Bank on Safer Schools back in 2018 to support the MoE in integrating DRM considerations into school infrastructure investments, maintenance, and operations. </t>
  </si>
  <si>
    <t>Need to follow-up with MINEDU</t>
  </si>
  <si>
    <t>(3) health (hospitals)</t>
  </si>
  <si>
    <t>Q20</t>
  </si>
  <si>
    <t>Need to follow-up with health colleagues and Ministry of Health</t>
  </si>
  <si>
    <t>(4) energy infrastructure?</t>
  </si>
  <si>
    <t>Q21</t>
  </si>
  <si>
    <t>Need to follow-up with ENR colleagues and Ministry of Mines and Energy</t>
  </si>
  <si>
    <t>Is there at least one legally binding building code or standard that requires earthquake-resistant or other hazard-resistant (e.g., wind, flood) design for buildings?</t>
  </si>
  <si>
    <t>Q22</t>
  </si>
  <si>
    <t>Art 56 of the CTE. Could not find the associated description https://www.arquitectos.org.cv/wp-content/uploads/2020/07/B.-O.-II-Serie-n-2_2012-Codigo-Tecnico-1.pdf</t>
  </si>
  <si>
    <t>Has any public project or program in the past four years been allocated funding for retrofitting activities that follow vulnerability assessments and resilient design standards?</t>
  </si>
  <si>
    <t>Q23</t>
  </si>
  <si>
    <t>Rafa I let you answer these ones. Perhapes the safe school program?</t>
  </si>
  <si>
    <t>The TA strengthened the National Plan for the Rehabilitation and Extension of School Infrastructure, which is aimed at rehabilitating, strengthening and expanding school infrastructure in the country by 2021. I could not find an online copy of this plan. Need to follow-up with Minedu</t>
  </si>
  <si>
    <t>Are there legal and institutional arrangements for water supply and sanitation in urban areas that take flood risk into account?</t>
  </si>
  <si>
    <t>Q24</t>
  </si>
  <si>
    <t>The CAS provides the overarching framework  https://ampeid.org/documents/cabo-verde/legislative-decree-no-3-2015-approving-the-water-and-sanitation-code-(cas)/</t>
  </si>
  <si>
    <t>Are there legal and institutional arrangements for integrated water resources management that explicitly incorporate flood and drought risk considerations?</t>
  </si>
  <si>
    <t>Q25</t>
  </si>
  <si>
    <t>The CAS as well. These two questions might be strongly correlated...</t>
  </si>
  <si>
    <t>OK sí puedo ser. Me quedaría más con la segunda en este caso ya que vemos la parte de WSS a traves del indicador del WDI más abajo</t>
  </si>
  <si>
    <t>Have any watershed basins undergone improvements in water management in the last four years?</t>
  </si>
  <si>
    <t>Q26</t>
  </si>
  <si>
    <t>Follow-up with ANAS- Ministerio Ambiente</t>
  </si>
  <si>
    <t>Has the percentage of urban residents with access to sewage services been maintained or increased in the last four years?</t>
  </si>
  <si>
    <t>Q27</t>
  </si>
  <si>
    <t>This can come from WDI</t>
  </si>
  <si>
    <t>4. Preparedness</t>
  </si>
  <si>
    <t>4.1. Early Warning Systems (EWS)</t>
  </si>
  <si>
    <t>Do institutions involved in EWS—data producers, decision-makers, and implementers of preparedness and response—operate under an established, functional coordination mechanism, evidenced by formal arrangements such as MoUs or regular coordination platform meetings?</t>
  </si>
  <si>
    <t>Q28</t>
  </si>
  <si>
    <t>No in 2018, based on R2R. They are starting some projects it seems https://expressodasilhas.cv/pais/2026/01/07/cabo-verde-desenvolve-sistema-de-alertas-meteorologicos-e-de-outros-riscos/100789</t>
  </si>
  <si>
    <t>Check updates with INMG / SNPCB</t>
  </si>
  <si>
    <t xml:space="preserve">Over the most recent major disaster, was the population promptly alerted (e.g., via SMS or other tailored communication channels)? </t>
  </si>
  <si>
    <t>Q29</t>
  </si>
  <si>
    <t>According to R2R yes: "The current practice of issuing SMS warnings via cell phone provides little control over the timely delivery of warnings, due to vulnerabilities of the cell phone system with no adequate back-up available. Formal agreements with telecom providers, such as a Memorandum of Understanding (MoU), are inexistent, but providers cooperate on the basis of informal agreements."</t>
  </si>
  <si>
    <t>To be asked to SNPCB</t>
  </si>
  <si>
    <r>
      <rPr>
        <sz val="11"/>
        <color rgb="FF000000"/>
        <rFont val="Aptos Narrow"/>
      </rPr>
      <t>Over the past four years, has there been at least one</t>
    </r>
    <r>
      <rPr>
        <sz val="11"/>
        <color rgb="FFFF0000"/>
        <rFont val="Aptos Narrow"/>
      </rPr>
      <t>(consistent)</t>
    </r>
    <r>
      <rPr>
        <sz val="11"/>
        <color rgb="FF000000"/>
        <rFont val="Aptos Narrow"/>
      </rPr>
      <t xml:space="preserve"> budget allocation for the expansion, maintenance, or operation of the hydrometeorological network and </t>
    </r>
    <r>
      <rPr>
        <sz val="11"/>
        <color rgb="FFFF0000"/>
        <rFont val="Aptos Narrow"/>
      </rPr>
      <t xml:space="preserve">geophysical </t>
    </r>
    <r>
      <rPr>
        <sz val="11"/>
        <color rgb="FF000000"/>
        <rFont val="Aptos Narrow"/>
      </rPr>
      <t>stations?</t>
    </r>
  </si>
  <si>
    <t>Q30</t>
  </si>
  <si>
    <t>Probably yes by INMG</t>
  </si>
  <si>
    <t>We need to change this... EWS also for geophysical as it makes sense in CPV. Also it is perhaps too weak as an indicator because it might be easy to answer yes</t>
  </si>
  <si>
    <t>Agreed on includgin geophysical but I am sure that the answer will be no in a lot of countries...</t>
  </si>
  <si>
    <t>4.2. Emergency Preparedness and Response (EP&amp;R)</t>
  </si>
  <si>
    <t xml:space="preserve">Is there a legal framework for EP&amp;R clearly defining the roles and responsibilities of institutions involved in disaster management? </t>
  </si>
  <si>
    <t>Q31</t>
  </si>
  <si>
    <t>Lei de bases 2012</t>
  </si>
  <si>
    <t xml:space="preserve">Do at least 50% of essential government entities have an emergency response protocol or operational continuity plan? </t>
  </si>
  <si>
    <t>Q32</t>
  </si>
  <si>
    <t>Creo que toca cambiar esta pregunta a algo más enfocado al national contingency plan o national emergency plan (leyendo el R2R se me hace más relevante y más fácil de contestar). Algo tipo: "Is there a national contingency plan or national emergency plan with a clear distribution of roles and responsibilities among involved actors in emergency management?"  En el caso de Cabo Verde si cambiamos la pregunta sería no igualmente: "The National
Contingency Plan (Resolution n.º 11/2010) requires an update in order to align with the base law in place, and
to incorporate the lessons learned"</t>
  </si>
  <si>
    <t>Do at least 50% of subnational EP&amp;R entities (e.g., Local Emergency Management Committee) have an approved contingency plan or emergency response protocol?</t>
  </si>
  <si>
    <t>Q33</t>
  </si>
  <si>
    <t>Based on the 2019 R2R diagnosis: "As of today, none of Cabo Verde’s municipalities has implemented an emergency response plan. There is no functioning municipal civil protection service in Cabo Verde with the minimum human resource capacities for the complete fulfillment of the responsibilities assigned to them."</t>
  </si>
  <si>
    <t xml:space="preserve">Do emergency preparedness plans incorporate gender-sensitive measures, such as gender-based violence prevention, safe shelters, and women's specific needs during evacuation and displacement? </t>
  </si>
  <si>
    <t>Q34</t>
  </si>
  <si>
    <t>Ni siquiera en el R2R he encontrado respuesta a eso... Pero como casi no hay Emergency prepardness plans podemos decir que no...</t>
  </si>
  <si>
    <t>4.3. Adaptive Social Protection (ASP)</t>
  </si>
  <si>
    <t>Is there a legal framework clearly defining the roles and responsibilities of institutions involved in ASP (e.g., social protection, finance, DRM)?</t>
  </si>
  <si>
    <t>Q35</t>
  </si>
  <si>
    <t>Decreto-Lei 33-2022: https://boe.incv.cv/Bulletins/Details/A2022/S1/BO74/4333 ; o rendimento social de inclusão emergencial was supported through Cat DDO2</t>
  </si>
  <si>
    <t>Is there a unified social registry incorporating exposure and vulnerability data to facilitate the targeting of population potentially affected in case of disaster or climate-related shocks?</t>
  </si>
  <si>
    <t>Q36</t>
  </si>
  <si>
    <t>Check with SP colleagues or Ministério da Família, Inclusão e Desenvolvimento Social, MFIDS</t>
  </si>
  <si>
    <t>During the most recent disaster or climate-related shock, was support promptly provided to the population through social‐protection programs? (e.g., cash transfers in the case of flood/drought)?</t>
  </si>
  <si>
    <t>Q37</t>
  </si>
  <si>
    <t>5. Financial Protection</t>
  </si>
  <si>
    <t>5.1. Fiscal risk management</t>
  </si>
  <si>
    <t xml:space="preserve">Has the Ministry of Finance created or tasked an existing institutional structure (e.g., department, unit, committee) to manage contingent liabilities and/or fiscal risks, explicitly including those associated with disasters and/or climate-related shocks? </t>
  </si>
  <si>
    <t>Q38</t>
  </si>
  <si>
    <t>Both a risk unit and a risk committee exist within MoF, both explictly targeted with risk associated with disasters/ climate-related shocks: https://boe.incv.cv/Bulletins/Details/A2022/S1/BO64/4295</t>
  </si>
  <si>
    <t>Are contingent liabilities associated with disasters quantified through an established methodology for the major hazards?</t>
  </si>
  <si>
    <t>Q39</t>
  </si>
  <si>
    <t xml:space="preserve">As part of the preparation the 1st Cat DDO a risk profile was prepared by the WB team for different hazards. This quantification has been used as the basis to quantify disaster-related fiscal risks </t>
  </si>
  <si>
    <t>Do key fiscal policy documents (e.g., the medium-term fiscal framework or fiscal risk statements) include quantified assessments of disaster risks?</t>
  </si>
  <si>
    <t>Q40</t>
  </si>
  <si>
    <t>See the last fiscal risk statement as an annex to the 2025 budget(page 156; prepared with TA from WB + IMF): https://boe.incv.cv/Bulletins/Details/A2024/S1/BO125/SUP1/6150</t>
  </si>
  <si>
    <t>Has the government conducted stress tests of public debt that include disaster or climate-related scenarios?</t>
  </si>
  <si>
    <t>Q41</t>
  </si>
  <si>
    <t>See the last fiscal risk statement as an annex to the 2025 budget, prepared with TA from WB + IMF: impact of a 10YRP on public debt trajectory</t>
  </si>
  <si>
    <t>5.2. Disaster Risk Financing (DRF) strategies and instruments</t>
  </si>
  <si>
    <t>Are there sovereign risk financing instruments (e.g., disaster or emergency funds, contingent loans, insurance, cat bonds) in place to manage the financial impact of disasters and climate-related shocks?</t>
  </si>
  <si>
    <t>Q42</t>
  </si>
  <si>
    <t>FNE is in place + 2 Cat DDOs have been used. Low penetration of insurance</t>
  </si>
  <si>
    <t>Are there regulations that define standards for catastrophe insurance coverage of public or private assets?</t>
  </si>
  <si>
    <t>Q43</t>
  </si>
  <si>
    <t>The R2R diagnosis found no information for the indicator related to: "Critical Infrastructure Assurance Program"</t>
  </si>
  <si>
    <t>To be discussed with insurance supervisors in Cabo Verde</t>
  </si>
  <si>
    <t>Over the past four years, has the $ amount of financing that can be mobilized through sovereign risk financing instruments increased?</t>
  </si>
  <si>
    <t>Q44</t>
  </si>
  <si>
    <t>a US10 Million Cat DDO has been secured + Allocation to FNE increase in nominal terms</t>
  </si>
  <si>
    <t>6. Resilient Reconstruction</t>
  </si>
  <si>
    <t>Are there laws or regulations that establish the institutions responsible for coordinating post-disaster recovery and reconstruction?</t>
  </si>
  <si>
    <t>Q45</t>
  </si>
  <si>
    <t>There is a provision for the creation of the committee but it seems it is to be created on an ad-hoc basis
Gabinete de Gestao de Recuperacao. Art 2. https://faolex.fao.org/docs/pdf/cvi183018.pdf</t>
  </si>
  <si>
    <r>
      <rPr>
        <sz val="11"/>
        <color theme="1"/>
        <rFont val="Aptos Narrow"/>
        <family val="2"/>
        <charset val="1"/>
      </rPr>
      <t xml:space="preserve">After the most recent major disaster, have the zoning, land use or territorial planning instruments in the affected areas been reviewed to </t>
    </r>
    <r>
      <rPr>
        <i/>
        <sz val="11"/>
        <color theme="1"/>
        <rFont val="Aptos Narrow"/>
        <family val="2"/>
        <charset val="1"/>
      </rPr>
      <t>build back better</t>
    </r>
    <r>
      <rPr>
        <sz val="11"/>
        <color theme="1"/>
        <rFont val="Aptos Narrow"/>
        <family val="2"/>
        <charset val="1"/>
      </rPr>
      <t>?</t>
    </r>
  </si>
  <si>
    <t>Q46</t>
  </si>
  <si>
    <t>In the case of Fogo, a Plano Detalhado was approved in 2018 following the volcanic eruption. Art. 44 shows that considerations have been taken into account.  https://boe.incv.cv/Bulletins/Details/A2018/S1/BO24/2510</t>
  </si>
  <si>
    <t>I put yes as there is a PD approved following the eruption. We might want to rephrase the wording as these instruments can take a lot of time and if a large disaster occured recently, it might result in a "no". Also, "reviewed to build back better" is not too clear. Suggest rewording to something like: After a recent major disaster, have the zoning, land use or territorial planning instruments in the affected areas been reviewed with the objective of reducing risk?</t>
  </si>
  <si>
    <t>Have guidelines or regulations to conduct post-disaster damage and needs assessments been developed and approved?</t>
  </si>
  <si>
    <t>Q47</t>
  </si>
  <si>
    <t>The QRPD suggests to do it, but couldn'd find further evidence</t>
  </si>
  <si>
    <t>Do we want this one? Very UNDP...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</si>
</sst>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charset val="1"/>
    </font>
    <font>
      <b/>
      <sz val="15"/>
      <color theme="3"/>
      <name val="Aptos Narrow"/>
      <family val="2"/>
      <charset val="1"/>
    </font>
    <font>
      <b/>
      <u/>
      <sz val="11"/>
      <color theme="1"/>
      <name val="Aptos"/>
      <family val="2"/>
      <charset val="1"/>
    </font>
    <font>
      <sz val="11"/>
      <color theme="1"/>
      <name val="Aptos"/>
      <family val="2"/>
      <charset val="1"/>
    </font>
    <font>
      <u/>
      <sz val="11"/>
      <color theme="10"/>
      <name val="Aptos"/>
      <family val="2"/>
      <charset val="1"/>
    </font>
    <font>
      <u/>
      <sz val="11"/>
      <color theme="10"/>
      <name val="Aptos Narrow"/>
      <family val="2"/>
      <charset val="1"/>
    </font>
    <font>
      <b/>
      <sz val="11"/>
      <color rgb="FFFA7D00"/>
      <name val="Aptos Narrow"/>
      <family val="2"/>
      <charset val="1"/>
    </font>
    <font>
      <i/>
      <sz val="11"/>
      <color rgb="FF7F7F7F"/>
      <name val="Aptos"/>
      <family val="2"/>
      <charset val="1"/>
    </font>
    <font>
      <i/>
      <sz val="11"/>
      <color rgb="FF7F7F7F"/>
      <name val="Aptos Narrow"/>
      <family val="2"/>
      <charset val="1"/>
    </font>
    <font>
      <b/>
      <sz val="11"/>
      <color theme="1"/>
      <name val="Aptos Narrow"/>
      <family val="2"/>
      <charset val="1"/>
    </font>
    <font>
      <i/>
      <sz val="11"/>
      <color theme="1"/>
      <name val="Aptos Narrow"/>
      <family val="2"/>
      <charset val="1"/>
    </font>
    <font>
      <sz val="11"/>
      <color theme="1"/>
      <name val="Aptos Narrow"/>
      <family val="2"/>
      <charset val="1"/>
    </font>
    <font>
      <sz val="11"/>
      <color rgb="FFFF0000"/>
      <name val="Aptos Narrow"/>
      <family val="2"/>
      <charset val="1"/>
    </font>
    <font>
      <sz val="11"/>
      <color rgb="FF000000"/>
      <name val="Aptos Narrow"/>
    </font>
    <font>
      <sz val="11"/>
      <color rgb="FFFF0000"/>
      <name val="Aptos Narrow"/>
    </font>
    <font>
      <sz val="11"/>
      <color theme="1"/>
      <name val="Aptos Narrow"/>
    </font>
    <font>
      <sz val="11"/>
      <color rgb="FFC00000"/>
      <name val="Aptos Narrow"/>
      <family val="2"/>
      <charset val="1"/>
    </font>
  </fonts>
  <fills count="6">
    <fill>
      <patternFill patternType="none"/>
    </fill>
    <fill>
      <patternFill patternType="gray125"/>
    </fill>
    <fill>
      <patternFill patternType="solid">
        <fgColor rgb="FFF2F2F2"/>
        <bgColor rgb="FFFFFFFF"/>
      </patternFill>
    </fill>
    <fill>
      <patternFill patternType="solid">
        <fgColor theme="4" tint="0.39988402966399123"/>
        <bgColor rgb="FF00CCFF"/>
      </patternFill>
    </fill>
    <fill>
      <patternFill patternType="solid">
        <fgColor theme="4" tint="0.79989013336588644"/>
        <bgColor rgb="FFCCFFFF"/>
      </patternFill>
    </fill>
    <fill>
      <patternFill patternType="solid">
        <fgColor theme="0"/>
        <bgColor rgb="FFF2F2F2"/>
      </patternFill>
    </fill>
  </fills>
  <borders count="18">
    <border>
      <left/>
      <right/>
      <top/>
      <bottom/>
      <diagonal/>
    </border>
    <border>
      <left/>
      <right/>
      <top/>
      <bottom style="thick">
        <color theme="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thin">
        <color auto="1"/>
      </bottom>
      <diagonal/>
    </border>
  </borders>
  <cellStyleXfs count="7">
    <xf numFmtId="0" fontId="0" fillId="0" borderId="0"/>
    <xf numFmtId="0" fontId="1" fillId="0" borderId="1" applyProtection="0"/>
    <xf numFmtId="0" fontId="6" fillId="2" borderId="0" applyBorder="0" applyProtection="0"/>
    <xf numFmtId="0" fontId="8" fillId="0" borderId="0" applyBorder="0" applyProtection="0"/>
    <xf numFmtId="0" fontId="11" fillId="3" borderId="0" applyBorder="0" applyProtection="0"/>
    <xf numFmtId="0" fontId="11" fillId="4" borderId="0" applyBorder="0" applyProtection="0"/>
    <xf numFmtId="0" fontId="5" fillId="0" borderId="0" applyNumberFormat="0" applyFill="0" applyBorder="0" applyAlignment="0" applyProtection="0"/>
  </cellStyleXfs>
  <cellXfs count="71">
    <xf numFmtId="0" fontId="0" fillId="0" borderId="0" xfId="0"/>
    <xf numFmtId="0" fontId="0" fillId="0" borderId="13" xfId="0" applyBorder="1" applyAlignment="1">
      <alignment horizontal="left" vertical="center" wrapText="1"/>
    </xf>
    <xf numFmtId="0" fontId="0" fillId="0" borderId="3" xfId="0" applyBorder="1" applyAlignment="1">
      <alignment horizontal="left" vertical="center" wrapText="1"/>
    </xf>
    <xf numFmtId="0" fontId="0" fillId="0" borderId="16" xfId="0" applyBorder="1" applyAlignment="1">
      <alignment horizontal="left" vertical="center" wrapText="1"/>
    </xf>
    <xf numFmtId="0" fontId="0" fillId="0" borderId="10" xfId="0" applyBorder="1" applyAlignment="1">
      <alignment horizontal="left" vertical="center" wrapText="1"/>
    </xf>
    <xf numFmtId="0" fontId="0" fillId="0" borderId="7" xfId="0" applyBorder="1" applyAlignment="1">
      <alignment horizontal="left" vertical="center" wrapText="1"/>
    </xf>
    <xf numFmtId="0" fontId="1" fillId="0" borderId="1" xfId="1" applyAlignment="1" applyProtection="1">
      <alignment horizontal="left"/>
    </xf>
    <xf numFmtId="0" fontId="0" fillId="0" borderId="0" xfId="0" applyAlignment="1">
      <alignment horizontal="left" vertical="center" wrapText="1"/>
    </xf>
    <xf numFmtId="0" fontId="0" fillId="0" borderId="0" xfId="0" applyAlignment="1">
      <alignment horizontal="center" vertical="center"/>
    </xf>
    <xf numFmtId="0" fontId="2" fillId="0" borderId="0" xfId="0" applyFont="1"/>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xf numFmtId="0" fontId="4" fillId="0" borderId="0" xfId="6" applyFont="1" applyBorder="1" applyProtection="1"/>
    <xf numFmtId="0" fontId="3" fillId="5" borderId="0" xfId="0" applyFont="1" applyFill="1"/>
    <xf numFmtId="0" fontId="3" fillId="5" borderId="0" xfId="0" applyFont="1" applyFill="1" applyAlignment="1">
      <alignment horizontal="left" vertical="center" wrapText="1"/>
    </xf>
    <xf numFmtId="0" fontId="0" fillId="5" borderId="0" xfId="0" applyFill="1" applyAlignment="1">
      <alignment horizontal="center" vertical="center"/>
    </xf>
    <xf numFmtId="0" fontId="0" fillId="5" borderId="0" xfId="0" applyFill="1"/>
    <xf numFmtId="0" fontId="3" fillId="5" borderId="0" xfId="0" applyFont="1" applyFill="1" applyAlignment="1">
      <alignment horizontal="left" vertical="center"/>
    </xf>
    <xf numFmtId="0" fontId="6" fillId="2" borderId="0" xfId="2" applyBorder="1" applyAlignment="1" applyProtection="1">
      <alignment horizontal="left"/>
    </xf>
    <xf numFmtId="0" fontId="6" fillId="2" borderId="0" xfId="2" applyBorder="1" applyAlignment="1" applyProtection="1">
      <alignment wrapText="1"/>
    </xf>
    <xf numFmtId="0" fontId="6" fillId="2" borderId="0" xfId="2" applyBorder="1" applyAlignment="1" applyProtection="1">
      <alignment horizontal="left" vertical="center" wrapText="1"/>
    </xf>
    <xf numFmtId="0" fontId="7" fillId="0" borderId="0" xfId="3" applyFont="1" applyBorder="1" applyProtection="1"/>
    <xf numFmtId="0" fontId="9" fillId="3" borderId="2" xfId="4" applyFont="1" applyBorder="1" applyAlignment="1" applyProtection="1">
      <alignment horizontal="center" vertical="center"/>
    </xf>
    <xf numFmtId="0" fontId="9" fillId="3" borderId="3" xfId="4" applyFont="1" applyBorder="1" applyAlignment="1" applyProtection="1">
      <alignment horizontal="center" vertical="center"/>
    </xf>
    <xf numFmtId="0" fontId="9" fillId="3" borderId="3" xfId="4" applyFont="1" applyBorder="1" applyAlignment="1" applyProtection="1">
      <alignment horizontal="center" vertical="center" wrapText="1"/>
    </xf>
    <xf numFmtId="0" fontId="9" fillId="3" borderId="4" xfId="4" applyFont="1" applyBorder="1" applyAlignment="1" applyProtection="1">
      <alignment horizontal="center" vertical="center" wrapText="1"/>
    </xf>
    <xf numFmtId="0" fontId="9" fillId="3" borderId="5" xfId="4" applyFont="1" applyBorder="1" applyAlignment="1" applyProtection="1">
      <alignment horizontal="center" vertical="center"/>
    </xf>
    <xf numFmtId="0" fontId="9" fillId="3" borderId="0" xfId="4" applyFont="1" applyBorder="1" applyAlignment="1" applyProtection="1">
      <alignment horizontal="center" vertical="center"/>
    </xf>
    <xf numFmtId="0" fontId="11" fillId="4" borderId="7" xfId="5" applyBorder="1" applyAlignment="1" applyProtection="1">
      <alignment horizontal="left" vertical="center" wrapText="1"/>
    </xf>
    <xf numFmtId="0" fontId="11" fillId="4" borderId="8" xfId="5" applyBorder="1" applyAlignment="1" applyProtection="1">
      <alignment horizontal="center" vertical="center"/>
    </xf>
    <xf numFmtId="0" fontId="11" fillId="4" borderId="9" xfId="5" applyBorder="1" applyAlignment="1" applyProtection="1">
      <alignment horizontal="center" vertical="center"/>
    </xf>
    <xf numFmtId="0" fontId="11" fillId="4" borderId="0" xfId="5" applyBorder="1" applyAlignment="1" applyProtection="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11" fillId="4" borderId="3" xfId="5" applyBorder="1" applyAlignment="1" applyProtection="1">
      <alignment horizontal="left" vertical="center" wrapText="1"/>
    </xf>
    <xf numFmtId="0" fontId="11" fillId="4" borderId="5" xfId="5" applyBorder="1" applyAlignment="1" applyProtection="1">
      <alignment horizontal="center" vertical="center"/>
    </xf>
    <xf numFmtId="0" fontId="0" fillId="0" borderId="14" xfId="0" applyBorder="1" applyAlignment="1">
      <alignment horizontal="center" vertical="center"/>
    </xf>
    <xf numFmtId="0" fontId="11" fillId="4" borderId="16" xfId="5" applyBorder="1" applyAlignment="1" applyProtection="1">
      <alignment horizontal="left" vertical="center" wrapText="1"/>
    </xf>
    <xf numFmtId="0" fontId="11" fillId="4" borderId="17" xfId="5" applyBorder="1" applyAlignment="1" applyProtection="1">
      <alignment horizontal="center" vertical="center"/>
    </xf>
    <xf numFmtId="0" fontId="11" fillId="4" borderId="7" xfId="5" applyBorder="1" applyAlignment="1" applyProtection="1">
      <alignment horizontal="right" vertical="center" wrapText="1"/>
    </xf>
    <xf numFmtId="0" fontId="0" fillId="0" borderId="7" xfId="0" applyBorder="1" applyAlignment="1">
      <alignment horizontal="right" vertical="center" wrapText="1"/>
    </xf>
    <xf numFmtId="0" fontId="11" fillId="4" borderId="10" xfId="5" applyBorder="1" applyAlignment="1" applyProtection="1">
      <alignment horizontal="left" vertical="center" wrapText="1"/>
    </xf>
    <xf numFmtId="0" fontId="11" fillId="4" borderId="11" xfId="5" applyBorder="1" applyAlignment="1" applyProtection="1">
      <alignment horizontal="center" vertical="center"/>
    </xf>
    <xf numFmtId="0" fontId="0" fillId="0" borderId="5" xfId="0" applyBorder="1" applyAlignment="1">
      <alignment horizontal="center" vertical="center"/>
    </xf>
    <xf numFmtId="0" fontId="11" fillId="4" borderId="13" xfId="5" applyBorder="1" applyAlignment="1" applyProtection="1">
      <alignment horizontal="left" vertical="center" wrapText="1"/>
    </xf>
    <xf numFmtId="0" fontId="11" fillId="4" borderId="14" xfId="5" applyBorder="1" applyAlignment="1" applyProtection="1">
      <alignment horizontal="center" vertical="center"/>
    </xf>
    <xf numFmtId="0" fontId="0" fillId="0" borderId="17" xfId="0" applyBorder="1" applyAlignment="1">
      <alignment horizontal="center" vertical="center"/>
    </xf>
    <xf numFmtId="0" fontId="5" fillId="0" borderId="0" xfId="6" applyAlignment="1">
      <alignment wrapText="1"/>
    </xf>
    <xf numFmtId="0" fontId="0" fillId="0" borderId="0" xfId="0" applyAlignment="1">
      <alignment wrapText="1"/>
    </xf>
    <xf numFmtId="0" fontId="12" fillId="0" borderId="0" xfId="0" applyFont="1"/>
    <xf numFmtId="0" fontId="15" fillId="0" borderId="7" xfId="0" applyFont="1" applyBorder="1" applyAlignment="1">
      <alignment horizontal="left" vertical="center" wrapText="1"/>
    </xf>
    <xf numFmtId="0" fontId="15" fillId="4" borderId="7" xfId="5" applyFont="1" applyBorder="1" applyAlignment="1" applyProtection="1">
      <alignment horizontal="left" vertical="center" wrapText="1"/>
    </xf>
    <xf numFmtId="0" fontId="15" fillId="0" borderId="10" xfId="0" applyFont="1" applyBorder="1" applyAlignment="1">
      <alignment horizontal="left" vertical="center" wrapText="1"/>
    </xf>
    <xf numFmtId="0" fontId="16" fillId="0" borderId="0" xfId="0" applyFont="1"/>
    <xf numFmtId="0" fontId="0" fillId="5" borderId="0" xfId="0" applyFill="1" applyAlignment="1">
      <alignment wrapText="1"/>
    </xf>
    <xf numFmtId="0" fontId="15" fillId="0" borderId="0" xfId="0" applyFont="1" applyAlignment="1">
      <alignment wrapText="1"/>
    </xf>
    <xf numFmtId="0" fontId="12" fillId="0" borderId="0" xfId="0" applyFont="1" applyAlignment="1">
      <alignment wrapText="1"/>
    </xf>
    <xf numFmtId="0" fontId="16" fillId="0" borderId="0" xfId="0" applyFont="1" applyAlignment="1">
      <alignment wrapText="1"/>
    </xf>
    <xf numFmtId="0" fontId="0" fillId="0" borderId="15" xfId="0" applyBorder="1" applyAlignment="1">
      <alignment horizontal="left" vertical="center"/>
    </xf>
    <xf numFmtId="0" fontId="0" fillId="0" borderId="16" xfId="0" applyBorder="1" applyAlignment="1">
      <alignment horizontal="left" vertical="center" wrapText="1"/>
    </xf>
    <xf numFmtId="0" fontId="0" fillId="0" borderId="10" xfId="0" applyBorder="1" applyAlignment="1">
      <alignment horizontal="left" vertical="center" wrapText="1"/>
    </xf>
    <xf numFmtId="0" fontId="0" fillId="0" borderId="12" xfId="0" applyBorder="1" applyAlignment="1">
      <alignment horizontal="left" vertical="center"/>
    </xf>
    <xf numFmtId="0" fontId="0" fillId="0" borderId="15" xfId="0" applyBorder="1" applyAlignment="1">
      <alignment horizontal="left" vertical="center"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0" fillId="0" borderId="13" xfId="0" applyBorder="1" applyAlignment="1">
      <alignment horizontal="left" vertical="center" wrapText="1"/>
    </xf>
    <xf numFmtId="0" fontId="1" fillId="0" borderId="1" xfId="1" applyAlignment="1" applyProtection="1">
      <alignment horizontal="left"/>
    </xf>
    <xf numFmtId="0" fontId="0" fillId="0" borderId="6" xfId="0" applyBorder="1" applyAlignment="1">
      <alignment horizontal="left" vertical="center" wrapText="1"/>
    </xf>
    <xf numFmtId="0" fontId="0" fillId="0" borderId="12" xfId="0" applyBorder="1" applyAlignment="1">
      <alignment horizontal="left" vertical="center" wrapText="1"/>
    </xf>
  </cellXfs>
  <cellStyles count="7">
    <cellStyle name="Excel Built-in 20% - Accent1" xfId="5" xr:uid="{00000000-0005-0000-0000-00000B000000}"/>
    <cellStyle name="Excel Built-in 60% - Accent1" xfId="4" xr:uid="{00000000-0005-0000-0000-00000A000000}"/>
    <cellStyle name="Excel Built-in Calculation" xfId="2" xr:uid="{00000000-0005-0000-0000-000008000000}"/>
    <cellStyle name="Excel Built-in Explanatory Text" xfId="3" xr:uid="{00000000-0005-0000-0000-000009000000}"/>
    <cellStyle name="Excel Built-in Heading 1" xfId="1" xr:uid="{00000000-0005-0000-0000-000006000000}"/>
    <cellStyle name="Hyperlink" xfId="6"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7F7F7F"/>
      <rgbColor rgb="FF9999FF"/>
      <rgbColor rgb="FF993366"/>
      <rgbColor rgb="FFF2F2F2"/>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6B1E1"/>
      <rgbColor rgb="FF99CC00"/>
      <rgbColor rgb="FFFFCC00"/>
      <rgbColor rgb="FFFF9900"/>
      <rgbColor rgb="FFFA7D00"/>
      <rgbColor rgb="FF467886"/>
      <rgbColor rgb="FF969696"/>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decv.gov.cv/apps/idecv-visor/explore" TargetMode="External"/><Relationship Id="rId2" Type="http://schemas.openxmlformats.org/officeDocument/2006/relationships/hyperlink" Target="https://boe.incv.cv/Bulletins/View?id=86458" TargetMode="External"/><Relationship Id="rId1" Type="http://schemas.openxmlformats.org/officeDocument/2006/relationships/hyperlink" Target="https://cat-ddo-drm-diagnostic-dashboard-129737065802.us-central1.run.app/" TargetMode="External"/><Relationship Id="rId4" Type="http://schemas.openxmlformats.org/officeDocument/2006/relationships/hyperlink" Target="https://faolex.fao.org/docs/pdf/cvi18301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Y198"/>
  <sheetViews>
    <sheetView showGridLines="0" tabSelected="1" topLeftCell="I36" zoomScaleNormal="100" workbookViewId="0">
      <selection activeCell="L38" sqref="L38:L39"/>
    </sheetView>
  </sheetViews>
  <sheetFormatPr defaultColWidth="8.5703125" defaultRowHeight="15"/>
  <cols>
    <col min="1" max="1" width="2.28515625" customWidth="1"/>
    <col min="2" max="2" width="21.28515625" customWidth="1"/>
    <col min="3" max="3" width="23.28515625" customWidth="1"/>
    <col min="4" max="4" width="87.28515625" style="7" customWidth="1"/>
    <col min="5" max="5" width="19.5703125" style="8" customWidth="1"/>
    <col min="6" max="7" width="6.7109375" style="8" hidden="1" customWidth="1"/>
    <col min="8" max="8" width="11.7109375" style="8" hidden="1" customWidth="1"/>
    <col min="9" max="9" width="40.85546875" style="50" customWidth="1"/>
    <col min="10" max="10" width="36.85546875" style="50" customWidth="1"/>
    <col min="12" max="12" width="20.5703125" customWidth="1"/>
  </cols>
  <sheetData>
    <row r="2" spans="2:51" ht="19.5">
      <c r="B2" s="68" t="s">
        <v>0</v>
      </c>
      <c r="C2" s="68"/>
      <c r="D2" s="68"/>
      <c r="E2" s="68"/>
      <c r="F2" s="68"/>
      <c r="G2" s="6"/>
    </row>
    <row r="4" spans="2:51">
      <c r="B4" s="9" t="s">
        <v>1</v>
      </c>
      <c r="C4" s="10"/>
      <c r="D4" s="11"/>
    </row>
    <row r="5" spans="2:51">
      <c r="B5" s="12" t="s">
        <v>2</v>
      </c>
      <c r="C5" s="10"/>
      <c r="D5" s="11"/>
    </row>
    <row r="6" spans="2:51" ht="14.25" customHeight="1">
      <c r="B6" s="12" t="s">
        <v>3</v>
      </c>
      <c r="C6" s="12"/>
      <c r="D6" s="11"/>
    </row>
    <row r="7" spans="2:51" ht="14.25" customHeight="1">
      <c r="B7" s="13" t="s">
        <v>4</v>
      </c>
      <c r="C7" s="12"/>
      <c r="D7" s="11"/>
      <c r="G7" s="8" t="s">
        <v>5</v>
      </c>
    </row>
    <row r="8" spans="2:51" ht="14.25" customHeight="1">
      <c r="B8" s="13"/>
      <c r="C8" s="14"/>
      <c r="D8" s="15"/>
      <c r="E8" s="16"/>
      <c r="F8" s="16"/>
      <c r="G8" s="12">
        <f>COUNTBLANK(E15:E61)</f>
        <v>0</v>
      </c>
      <c r="H8" s="16"/>
      <c r="I8" s="56"/>
      <c r="J8" s="56"/>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row>
    <row r="9" spans="2:51">
      <c r="B9" s="12" t="s">
        <v>6</v>
      </c>
      <c r="C9" s="18"/>
      <c r="D9" s="15"/>
      <c r="E9" s="16"/>
      <c r="F9" s="16"/>
      <c r="G9" s="16"/>
      <c r="H9" s="16"/>
      <c r="I9" s="56"/>
      <c r="J9" s="56"/>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row>
    <row r="10" spans="2:51">
      <c r="B10" s="19" t="str">
        <f>IF(G8&gt;0,_xlfn.CONCAT("Please complete asessment to proceed. Remaining questions: ",G8), _xlfn.TEXTJOIN(";",FALSE(),H15:H61))</f>
        <v>Q1,Yes,1;Q2,Unknown,1;Q3,Yes,0.5;Q4,Yes,0.5;Q5,Yes,1;Q6,Unknown,1;Q7,Yes,1;Q8,Unknown,0.5;Q9,No,0.5;Q10,Unknown,1;Q11,Yes,1;Q12,Unknown,0.5;Q13,Yes,0.5;Q14,Unknown,1;Q15,Yes,1;Q16,Yes,1;Q17,No,1;Q18,Yes,0.25;Q19,Unknown,0.25;Q20,Unknown,0.25;Q21,Unknown,0.25;Q22,Yes,1;Q23,Unknown,1;Q24,Yes,1;Q25,Yes,1;Q26,Unknown,0.5;Q27,Yes,0.5;Q28,No,1;Q29,Yes,1;Q30,Unknown,1;Q31,Yes,1;Q32,No,0.5;Q33,No,0.5;Q34,No,1;Q35,Yes,1;Q36,Unknown,1;Q37,Unknown,1;Q38,Yes,1;Q39,Yes,1;Q40,Yes,0.5;Q41,Yes,0.5;Q42,Yes,1;Q43,Unknown,1;Q44,Yes,1;Q45,No,1;Q46,Yes,1;Q47,No,1</v>
      </c>
      <c r="C10" s="20"/>
      <c r="D10" s="21"/>
      <c r="E10" s="16" t="s">
        <v>7</v>
      </c>
      <c r="F10" s="16"/>
      <c r="G10" s="16"/>
      <c r="H10" s="16"/>
      <c r="I10" s="56"/>
      <c r="J10" s="56"/>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row>
    <row r="11" spans="2:51">
      <c r="B11" s="12"/>
    </row>
    <row r="12" spans="2:51">
      <c r="B12" s="22" t="s">
        <v>8</v>
      </c>
    </row>
    <row r="13" spans="2:51">
      <c r="B13" s="12"/>
    </row>
    <row r="14" spans="2:51" ht="28.5" customHeight="1">
      <c r="B14" s="23" t="s">
        <v>9</v>
      </c>
      <c r="C14" s="24" t="s">
        <v>10</v>
      </c>
      <c r="D14" s="25" t="s">
        <v>11</v>
      </c>
      <c r="E14" s="26" t="s">
        <v>12</v>
      </c>
      <c r="F14" s="27" t="s">
        <v>13</v>
      </c>
      <c r="G14" s="28" t="s">
        <v>14</v>
      </c>
      <c r="I14" s="57" t="s">
        <v>15</v>
      </c>
      <c r="J14" s="57" t="s">
        <v>16</v>
      </c>
    </row>
    <row r="15" spans="2:51" ht="42" customHeight="1">
      <c r="B15" s="69" t="s">
        <v>17</v>
      </c>
      <c r="C15" s="65" t="s">
        <v>18</v>
      </c>
      <c r="D15" s="29" t="s">
        <v>19</v>
      </c>
      <c r="E15" s="30" t="s">
        <v>20</v>
      </c>
      <c r="F15" s="31">
        <v>1</v>
      </c>
      <c r="G15" s="32" t="s">
        <v>21</v>
      </c>
      <c r="H15" s="8" t="str">
        <f>_xlfn.TEXTJOIN(",",FALSE(),G15,E15,F15)</f>
        <v>Q1,Yes,1</v>
      </c>
      <c r="I15" s="50" t="s">
        <v>22</v>
      </c>
      <c r="J15" s="58" t="s">
        <v>23</v>
      </c>
    </row>
    <row r="16" spans="2:51" ht="42" customHeight="1">
      <c r="B16" s="69"/>
      <c r="C16" s="65"/>
      <c r="D16" s="5" t="s">
        <v>24</v>
      </c>
      <c r="E16" s="33" t="s">
        <v>25</v>
      </c>
      <c r="F16" s="34">
        <v>1</v>
      </c>
      <c r="G16" s="8" t="s">
        <v>26</v>
      </c>
      <c r="H16" s="8" t="str">
        <f>_xlfn.TEXTJOIN(",",FALSE(),G16,E16,F16)</f>
        <v>Q2,Unknown,1</v>
      </c>
      <c r="I16" s="50" t="s">
        <v>27</v>
      </c>
      <c r="J16" s="58"/>
    </row>
    <row r="17" spans="2:11" ht="42" customHeight="1">
      <c r="B17" s="69"/>
      <c r="C17" s="65"/>
      <c r="D17" s="53" t="s">
        <v>28</v>
      </c>
      <c r="E17" s="30" t="s">
        <v>20</v>
      </c>
      <c r="F17" s="31">
        <v>0.5</v>
      </c>
      <c r="G17" s="32" t="s">
        <v>29</v>
      </c>
      <c r="H17" s="8" t="str">
        <f>_xlfn.TEXTJOIN(",",FALSE(),G17,E17,F17)</f>
        <v>Q3,Yes,0.5</v>
      </c>
      <c r="I17" s="50" t="s">
        <v>30</v>
      </c>
      <c r="J17" s="58" t="s">
        <v>31</v>
      </c>
    </row>
    <row r="18" spans="2:11" ht="42" customHeight="1">
      <c r="B18" s="69"/>
      <c r="C18" s="65"/>
      <c r="D18" s="52" t="s">
        <v>32</v>
      </c>
      <c r="E18" s="33" t="s">
        <v>20</v>
      </c>
      <c r="F18" s="34">
        <v>0.5</v>
      </c>
      <c r="G18" s="8" t="s">
        <v>33</v>
      </c>
      <c r="H18" s="8" t="str">
        <f>_xlfn.TEXTJOIN(",",FALSE(),G18,E18,F18)</f>
        <v>Q4,Yes,0.5</v>
      </c>
      <c r="I18" s="49" t="s">
        <v>34</v>
      </c>
    </row>
    <row r="19" spans="2:11" ht="42" customHeight="1">
      <c r="B19" s="69"/>
      <c r="C19" s="62" t="s">
        <v>35</v>
      </c>
      <c r="D19" s="29" t="s">
        <v>36</v>
      </c>
      <c r="E19" s="30" t="s">
        <v>20</v>
      </c>
      <c r="F19" s="31">
        <v>1</v>
      </c>
      <c r="G19" s="32" t="s">
        <v>37</v>
      </c>
      <c r="H19" s="8" t="str">
        <f>_xlfn.TEXTJOIN(",",FALSE(),G19,E19,F19)</f>
        <v>Q5,Yes,1</v>
      </c>
      <c r="I19" s="50" t="s">
        <v>38</v>
      </c>
      <c r="J19" s="50" t="s">
        <v>39</v>
      </c>
    </row>
    <row r="20" spans="2:11" ht="56.25" customHeight="1">
      <c r="B20" s="69"/>
      <c r="C20" s="62"/>
      <c r="D20" s="54" t="s">
        <v>40</v>
      </c>
      <c r="E20" s="33" t="s">
        <v>25</v>
      </c>
      <c r="F20" s="35">
        <v>1</v>
      </c>
      <c r="G20" s="8" t="s">
        <v>41</v>
      </c>
      <c r="H20" s="8" t="str">
        <f>_xlfn.TEXTJOIN(",",FALSE(),G20,E20,F20)</f>
        <v>Q6,Unknown,1</v>
      </c>
      <c r="J20" s="50" t="s">
        <v>42</v>
      </c>
      <c r="K20" s="51"/>
    </row>
    <row r="21" spans="2:11" ht="42" customHeight="1">
      <c r="B21" s="70" t="s">
        <v>43</v>
      </c>
      <c r="C21" s="70" t="s">
        <v>43</v>
      </c>
      <c r="D21" s="36" t="s">
        <v>44</v>
      </c>
      <c r="E21" s="30" t="s">
        <v>20</v>
      </c>
      <c r="F21" s="37">
        <v>1</v>
      </c>
      <c r="G21" s="32" t="s">
        <v>45</v>
      </c>
      <c r="H21" s="8" t="str">
        <f>_xlfn.TEXTJOIN(",",FALSE(),G21,E21,F21)</f>
        <v>Q7,Yes,1</v>
      </c>
      <c r="I21" s="50" t="s">
        <v>46</v>
      </c>
    </row>
    <row r="22" spans="2:11" ht="42" customHeight="1">
      <c r="B22" s="70"/>
      <c r="C22" s="70"/>
      <c r="D22" s="5" t="s">
        <v>47</v>
      </c>
      <c r="E22" s="33" t="s">
        <v>25</v>
      </c>
      <c r="F22" s="34">
        <v>0.5</v>
      </c>
      <c r="G22" s="8" t="s">
        <v>48</v>
      </c>
      <c r="H22" s="8" t="str">
        <f>_xlfn.TEXTJOIN(",",FALSE(),G22,E22,F22)</f>
        <v>Q8,Unknown,0.5</v>
      </c>
      <c r="I22" s="50" t="s">
        <v>49</v>
      </c>
      <c r="J22" s="59" t="s">
        <v>50</v>
      </c>
    </row>
    <row r="23" spans="2:11" ht="42" customHeight="1">
      <c r="B23" s="70"/>
      <c r="C23" s="70"/>
      <c r="D23" s="29" t="s">
        <v>51</v>
      </c>
      <c r="E23" s="30" t="s">
        <v>52</v>
      </c>
      <c r="F23" s="31">
        <v>0.5</v>
      </c>
      <c r="G23" s="32" t="s">
        <v>53</v>
      </c>
      <c r="H23" s="8" t="str">
        <f>_xlfn.TEXTJOIN(",",FALSE(),G23,E23,F23)</f>
        <v>Q9,No,0.5</v>
      </c>
      <c r="I23" s="50" t="s">
        <v>54</v>
      </c>
      <c r="J23" s="49" t="s">
        <v>55</v>
      </c>
    </row>
    <row r="24" spans="2:11" ht="42" customHeight="1">
      <c r="B24" s="70"/>
      <c r="C24" s="70"/>
      <c r="D24" s="1" t="s">
        <v>56</v>
      </c>
      <c r="E24" s="33" t="s">
        <v>25</v>
      </c>
      <c r="F24" s="38">
        <v>1</v>
      </c>
      <c r="G24" s="8" t="s">
        <v>57</v>
      </c>
      <c r="H24" s="8" t="str">
        <f>_xlfn.TEXTJOIN(",",FALSE(),G24,E24,F24)</f>
        <v>Q10,Unknown,1</v>
      </c>
    </row>
    <row r="25" spans="2:11" ht="42" customHeight="1">
      <c r="B25" s="64" t="s">
        <v>58</v>
      </c>
      <c r="C25" s="61" t="s">
        <v>59</v>
      </c>
      <c r="D25" s="39" t="s">
        <v>60</v>
      </c>
      <c r="E25" s="30" t="s">
        <v>20</v>
      </c>
      <c r="F25" s="40">
        <v>1</v>
      </c>
      <c r="G25" s="32" t="s">
        <v>61</v>
      </c>
      <c r="H25" s="8" t="str">
        <f>_xlfn.TEXTJOIN(",",FALSE(),G25,E25,F25)</f>
        <v>Q11,Yes,1</v>
      </c>
      <c r="I25" s="50" t="s">
        <v>62</v>
      </c>
    </row>
    <row r="26" spans="2:11" ht="42" customHeight="1">
      <c r="B26" s="64"/>
      <c r="C26" s="61"/>
      <c r="D26" s="5" t="s">
        <v>63</v>
      </c>
      <c r="E26" s="33" t="s">
        <v>25</v>
      </c>
      <c r="F26" s="34">
        <v>0.5</v>
      </c>
      <c r="G26" s="8" t="s">
        <v>64</v>
      </c>
      <c r="H26" s="8" t="str">
        <f>_xlfn.TEXTJOIN(",",FALSE(),G26,E26,F26)</f>
        <v>Q12,Unknown,0.5</v>
      </c>
      <c r="I26" s="50" t="s">
        <v>65</v>
      </c>
      <c r="J26" s="50" t="s">
        <v>66</v>
      </c>
    </row>
    <row r="27" spans="2:11" ht="42" customHeight="1">
      <c r="B27" s="64"/>
      <c r="C27" s="61"/>
      <c r="D27" s="29" t="s">
        <v>67</v>
      </c>
      <c r="E27" s="30" t="s">
        <v>20</v>
      </c>
      <c r="F27" s="31">
        <v>0.5</v>
      </c>
      <c r="G27" s="32" t="s">
        <v>68</v>
      </c>
      <c r="H27" s="8" t="str">
        <f>_xlfn.TEXTJOIN(",",FALSE(),G27,E27,F27)</f>
        <v>Q13,Yes,0.5</v>
      </c>
      <c r="I27" s="50" t="s">
        <v>69</v>
      </c>
    </row>
    <row r="28" spans="2:11" ht="42" customHeight="1">
      <c r="B28" s="64"/>
      <c r="C28" s="61"/>
      <c r="D28" s="5" t="s">
        <v>70</v>
      </c>
      <c r="E28" s="33" t="s">
        <v>25</v>
      </c>
      <c r="F28" s="34">
        <v>1</v>
      </c>
      <c r="G28" s="8" t="s">
        <v>71</v>
      </c>
      <c r="H28" s="8" t="str">
        <f>_xlfn.TEXTJOIN(",",FALSE(),G28,E28,F28)</f>
        <v>Q14,Unknown,1</v>
      </c>
      <c r="J28" s="50" t="s">
        <v>72</v>
      </c>
      <c r="K28" s="55" t="s">
        <v>73</v>
      </c>
    </row>
    <row r="29" spans="2:11" ht="42" customHeight="1">
      <c r="B29" s="64"/>
      <c r="C29" s="65" t="s">
        <v>74</v>
      </c>
      <c r="D29" s="29" t="s">
        <v>75</v>
      </c>
      <c r="E29" s="30" t="s">
        <v>20</v>
      </c>
      <c r="F29" s="31">
        <v>1</v>
      </c>
      <c r="G29" s="32" t="s">
        <v>76</v>
      </c>
      <c r="H29" s="8" t="str">
        <f>_xlfn.TEXTJOIN(",",FALSE(),G29,E29,F29)</f>
        <v>Q15,Yes,1</v>
      </c>
      <c r="I29" s="50" t="s">
        <v>77</v>
      </c>
    </row>
    <row r="30" spans="2:11" ht="42" customHeight="1">
      <c r="B30" s="64"/>
      <c r="C30" s="65"/>
      <c r="D30" s="5" t="s">
        <v>78</v>
      </c>
      <c r="E30" s="33" t="s">
        <v>20</v>
      </c>
      <c r="F30" s="34">
        <v>1</v>
      </c>
      <c r="G30" s="8" t="s">
        <v>79</v>
      </c>
      <c r="H30" s="8" t="str">
        <f>_xlfn.TEXTJOIN(",",FALSE(),G30,E30,F30)</f>
        <v>Q16,Yes,1</v>
      </c>
      <c r="I30" s="50" t="s">
        <v>80</v>
      </c>
    </row>
    <row r="31" spans="2:11" ht="42" customHeight="1">
      <c r="B31" s="64"/>
      <c r="C31" s="65"/>
      <c r="D31" s="29" t="s">
        <v>81</v>
      </c>
      <c r="E31" s="30" t="s">
        <v>52</v>
      </c>
      <c r="F31" s="31">
        <v>1</v>
      </c>
      <c r="G31" s="32" t="s">
        <v>82</v>
      </c>
      <c r="H31" s="8" t="str">
        <f>_xlfn.TEXTJOIN(",",FALSE(),G31,E31,F31)</f>
        <v>Q17,No,1</v>
      </c>
      <c r="I31" s="50" t="s">
        <v>83</v>
      </c>
    </row>
    <row r="32" spans="2:11" ht="42" customHeight="1">
      <c r="B32" s="64"/>
      <c r="C32" s="62" t="s">
        <v>84</v>
      </c>
      <c r="D32" s="5" t="s">
        <v>85</v>
      </c>
      <c r="E32" s="33" t="s">
        <v>20</v>
      </c>
      <c r="F32" s="34">
        <v>0.25</v>
      </c>
      <c r="G32" s="8" t="s">
        <v>86</v>
      </c>
      <c r="H32" s="8" t="str">
        <f>_xlfn.TEXTJOIN(",",FALSE(),G32,E32,F32)</f>
        <v>Q18,Yes,0.25</v>
      </c>
      <c r="I32" s="50" t="s">
        <v>87</v>
      </c>
    </row>
    <row r="33" spans="2:12" ht="42" customHeight="1">
      <c r="B33" s="64"/>
      <c r="C33" s="62"/>
      <c r="D33" s="41" t="s">
        <v>88</v>
      </c>
      <c r="E33" s="30" t="s">
        <v>25</v>
      </c>
      <c r="F33" s="31">
        <v>0.25</v>
      </c>
      <c r="G33" s="32" t="s">
        <v>89</v>
      </c>
      <c r="H33" s="8" t="str">
        <f>_xlfn.TEXTJOIN(",",FALSE(),G33,E33,F33)</f>
        <v>Q19,Unknown,0.25</v>
      </c>
      <c r="I33" s="50" t="s">
        <v>90</v>
      </c>
      <c r="J33" s="58" t="s">
        <v>91</v>
      </c>
    </row>
    <row r="34" spans="2:12" ht="42" customHeight="1">
      <c r="B34" s="64"/>
      <c r="C34" s="62"/>
      <c r="D34" s="42" t="s">
        <v>92</v>
      </c>
      <c r="E34" s="33" t="s">
        <v>25</v>
      </c>
      <c r="F34" s="34">
        <v>0.25</v>
      </c>
      <c r="G34" s="8" t="s">
        <v>93</v>
      </c>
      <c r="H34" s="8" t="str">
        <f>_xlfn.TEXTJOIN(",",FALSE(),G34,E34,F34)</f>
        <v>Q20,Unknown,0.25</v>
      </c>
      <c r="J34" s="58" t="s">
        <v>94</v>
      </c>
    </row>
    <row r="35" spans="2:12" ht="42" customHeight="1">
      <c r="B35" s="64"/>
      <c r="C35" s="62"/>
      <c r="D35" s="41" t="s">
        <v>95</v>
      </c>
      <c r="E35" s="30" t="s">
        <v>25</v>
      </c>
      <c r="F35" s="31">
        <v>0.25</v>
      </c>
      <c r="G35" s="32" t="s">
        <v>96</v>
      </c>
      <c r="H35" s="8" t="str">
        <f>_xlfn.TEXTJOIN(",",FALSE(),G35,E35,F35)</f>
        <v>Q21,Unknown,0.25</v>
      </c>
      <c r="J35" s="58" t="s">
        <v>97</v>
      </c>
    </row>
    <row r="36" spans="2:12" ht="42" customHeight="1">
      <c r="B36" s="64"/>
      <c r="C36" s="62"/>
      <c r="D36" s="5" t="s">
        <v>98</v>
      </c>
      <c r="E36" s="33" t="s">
        <v>20</v>
      </c>
      <c r="F36" s="34">
        <v>1</v>
      </c>
      <c r="G36" s="8" t="s">
        <v>99</v>
      </c>
      <c r="H36" s="8" t="str">
        <f>_xlfn.TEXTJOIN(",",FALSE(),G36,E36,F36)</f>
        <v>Q22,Yes,1</v>
      </c>
      <c r="I36" s="50" t="s">
        <v>100</v>
      </c>
    </row>
    <row r="37" spans="2:12" ht="42" customHeight="1">
      <c r="B37" s="64"/>
      <c r="C37" s="62"/>
      <c r="D37" s="29" t="s">
        <v>101</v>
      </c>
      <c r="E37" s="30" t="s">
        <v>25</v>
      </c>
      <c r="F37" s="31">
        <v>1</v>
      </c>
      <c r="G37" s="32" t="s">
        <v>102</v>
      </c>
      <c r="H37" s="8" t="str">
        <f>_xlfn.TEXTJOIN(",",FALSE(),G37,E37,F37)</f>
        <v>Q23,Unknown,1</v>
      </c>
      <c r="I37" s="50" t="s">
        <v>103</v>
      </c>
      <c r="J37" s="58" t="s">
        <v>104</v>
      </c>
    </row>
    <row r="38" spans="2:12" ht="42" customHeight="1">
      <c r="B38" s="64"/>
      <c r="C38" s="62"/>
      <c r="D38" s="5" t="s">
        <v>105</v>
      </c>
      <c r="E38" s="33" t="s">
        <v>20</v>
      </c>
      <c r="F38" s="34">
        <v>1</v>
      </c>
      <c r="G38" s="8" t="s">
        <v>106</v>
      </c>
      <c r="H38" s="8" t="str">
        <f>_xlfn.TEXTJOIN(",",FALSE(),G38,E38,F38)</f>
        <v>Q24,Yes,1</v>
      </c>
      <c r="I38" s="50" t="s">
        <v>107</v>
      </c>
      <c r="L38" s="5"/>
    </row>
    <row r="39" spans="2:12" ht="42" customHeight="1">
      <c r="B39" s="64"/>
      <c r="C39" s="62"/>
      <c r="D39" s="29" t="s">
        <v>108</v>
      </c>
      <c r="E39" s="30" t="s">
        <v>20</v>
      </c>
      <c r="F39" s="31">
        <v>1</v>
      </c>
      <c r="G39" s="32" t="s">
        <v>109</v>
      </c>
      <c r="H39" s="8" t="str">
        <f>_xlfn.TEXTJOIN(",",FALSE(),G39,E39,F39)</f>
        <v>Q25,Yes,1</v>
      </c>
      <c r="I39" s="50" t="s">
        <v>110</v>
      </c>
      <c r="J39" s="58" t="s">
        <v>111</v>
      </c>
    </row>
    <row r="40" spans="2:12" ht="42" customHeight="1">
      <c r="B40" s="64"/>
      <c r="C40" s="62"/>
      <c r="D40" s="5" t="s">
        <v>112</v>
      </c>
      <c r="E40" s="33" t="s">
        <v>25</v>
      </c>
      <c r="F40" s="34">
        <v>0.5</v>
      </c>
      <c r="G40" s="8" t="s">
        <v>113</v>
      </c>
      <c r="H40" s="8" t="str">
        <f>_xlfn.TEXTJOIN(",",FALSE(),G40,E40,F40)</f>
        <v>Q26,Unknown,0.5</v>
      </c>
      <c r="J40" s="58" t="s">
        <v>114</v>
      </c>
    </row>
    <row r="41" spans="2:12" ht="42" customHeight="1">
      <c r="B41" s="64"/>
      <c r="C41" s="62"/>
      <c r="D41" s="43" t="s">
        <v>115</v>
      </c>
      <c r="E41" s="30" t="s">
        <v>20</v>
      </c>
      <c r="F41" s="44">
        <v>0.5</v>
      </c>
      <c r="G41" s="32" t="s">
        <v>116</v>
      </c>
      <c r="H41" s="8" t="str">
        <f>_xlfn.TEXTJOIN(",",FALSE(),G41,E41,F41)</f>
        <v>Q27,Yes,0.5</v>
      </c>
      <c r="I41" s="50" t="s">
        <v>117</v>
      </c>
    </row>
    <row r="42" spans="2:12" ht="42" customHeight="1">
      <c r="B42" s="63" t="s">
        <v>118</v>
      </c>
      <c r="C42" s="66" t="s">
        <v>119</v>
      </c>
      <c r="D42" s="2" t="s">
        <v>120</v>
      </c>
      <c r="E42" s="33" t="s">
        <v>52</v>
      </c>
      <c r="F42" s="45">
        <v>1</v>
      </c>
      <c r="G42" s="8" t="s">
        <v>121</v>
      </c>
      <c r="H42" s="8" t="str">
        <f>_xlfn.TEXTJOIN(",",FALSE(),G42,E42,F42)</f>
        <v>Q28,No,1</v>
      </c>
      <c r="I42" s="50" t="s">
        <v>122</v>
      </c>
      <c r="J42" s="58" t="s">
        <v>123</v>
      </c>
    </row>
    <row r="43" spans="2:12" ht="42" customHeight="1">
      <c r="B43" s="63"/>
      <c r="C43" s="66"/>
      <c r="D43" s="29" t="s">
        <v>124</v>
      </c>
      <c r="E43" s="30" t="s">
        <v>20</v>
      </c>
      <c r="F43" s="31">
        <v>1</v>
      </c>
      <c r="G43" s="32" t="s">
        <v>125</v>
      </c>
      <c r="H43" s="8" t="str">
        <f>_xlfn.TEXTJOIN(",",FALSE(),G43,E43,F43)</f>
        <v>Q29,Yes,1</v>
      </c>
      <c r="I43" s="58" t="s">
        <v>126</v>
      </c>
      <c r="J43" s="58" t="s">
        <v>127</v>
      </c>
    </row>
    <row r="44" spans="2:12" ht="42" customHeight="1">
      <c r="B44" s="63"/>
      <c r="C44" s="66"/>
      <c r="D44" s="52" t="s">
        <v>128</v>
      </c>
      <c r="E44" s="33" t="s">
        <v>25</v>
      </c>
      <c r="F44" s="34">
        <v>1</v>
      </c>
      <c r="G44" s="8" t="s">
        <v>129</v>
      </c>
      <c r="H44" s="8" t="str">
        <f>_xlfn.TEXTJOIN(",",FALSE(),G44,E44,F44)</f>
        <v>Q30,Unknown,1</v>
      </c>
      <c r="I44" s="50" t="s">
        <v>130</v>
      </c>
      <c r="J44" s="50" t="s">
        <v>131</v>
      </c>
      <c r="K44" s="51" t="s">
        <v>132</v>
      </c>
    </row>
    <row r="45" spans="2:12" ht="42" customHeight="1">
      <c r="B45" s="63"/>
      <c r="C45" s="65" t="s">
        <v>133</v>
      </c>
      <c r="D45" s="29" t="s">
        <v>134</v>
      </c>
      <c r="E45" s="30" t="s">
        <v>20</v>
      </c>
      <c r="F45" s="31">
        <v>1</v>
      </c>
      <c r="G45" s="32" t="s">
        <v>135</v>
      </c>
      <c r="H45" s="8" t="str">
        <f>_xlfn.TEXTJOIN(",",FALSE(),G45,E45,F45)</f>
        <v>Q31,Yes,1</v>
      </c>
      <c r="I45" s="50" t="s">
        <v>136</v>
      </c>
    </row>
    <row r="46" spans="2:12" ht="42" customHeight="1">
      <c r="B46" s="63"/>
      <c r="C46" s="65"/>
      <c r="D46" s="5" t="s">
        <v>137</v>
      </c>
      <c r="E46" s="33" t="s">
        <v>52</v>
      </c>
      <c r="F46" s="34">
        <v>0.5</v>
      </c>
      <c r="G46" s="8" t="s">
        <v>138</v>
      </c>
      <c r="H46" s="8" t="str">
        <f>_xlfn.TEXTJOIN(",",FALSE(),G46,E46,F46)</f>
        <v>Q32,No,0.5</v>
      </c>
      <c r="I46" s="58" t="s">
        <v>139</v>
      </c>
    </row>
    <row r="47" spans="2:12" ht="42" customHeight="1">
      <c r="B47" s="63"/>
      <c r="C47" s="65"/>
      <c r="D47" s="29" t="s">
        <v>140</v>
      </c>
      <c r="E47" s="30" t="s">
        <v>52</v>
      </c>
      <c r="F47" s="31">
        <v>0.5</v>
      </c>
      <c r="G47" s="32" t="s">
        <v>141</v>
      </c>
      <c r="H47" s="8" t="str">
        <f>_xlfn.TEXTJOIN(",",FALSE(),G47,E47,F47)</f>
        <v>Q33,No,0.5</v>
      </c>
      <c r="I47" s="58" t="s">
        <v>142</v>
      </c>
    </row>
    <row r="48" spans="2:12" ht="42" customHeight="1">
      <c r="B48" s="63"/>
      <c r="C48" s="65"/>
      <c r="D48" s="5" t="s">
        <v>143</v>
      </c>
      <c r="E48" s="33" t="s">
        <v>52</v>
      </c>
      <c r="F48" s="34">
        <v>1</v>
      </c>
      <c r="G48" s="8" t="s">
        <v>144</v>
      </c>
      <c r="H48" s="8" t="str">
        <f>_xlfn.TEXTJOIN(",",FALSE(),G48,E48,F48)</f>
        <v>Q34,No,1</v>
      </c>
      <c r="I48" s="58" t="s">
        <v>145</v>
      </c>
    </row>
    <row r="49" spans="2:10" ht="42" customHeight="1">
      <c r="B49" s="63"/>
      <c r="C49" s="67" t="s">
        <v>146</v>
      </c>
      <c r="D49" s="29" t="s">
        <v>147</v>
      </c>
      <c r="E49" s="30" t="s">
        <v>20</v>
      </c>
      <c r="F49" s="31">
        <v>1</v>
      </c>
      <c r="G49" s="32" t="s">
        <v>148</v>
      </c>
      <c r="H49" s="8" t="str">
        <f>_xlfn.TEXTJOIN(",",FALSE(),G49,E49,F49)</f>
        <v>Q35,Yes,1</v>
      </c>
      <c r="I49" s="50" t="s">
        <v>149</v>
      </c>
    </row>
    <row r="50" spans="2:10" ht="42" customHeight="1">
      <c r="B50" s="63"/>
      <c r="C50" s="67"/>
      <c r="D50" s="5" t="s">
        <v>150</v>
      </c>
      <c r="E50" s="33" t="s">
        <v>25</v>
      </c>
      <c r="F50" s="34">
        <v>1</v>
      </c>
      <c r="G50" s="8" t="s">
        <v>151</v>
      </c>
      <c r="H50" s="8" t="str">
        <f>_xlfn.TEXTJOIN(",",FALSE(),G50,E50,F50)</f>
        <v>Q36,Unknown,1</v>
      </c>
      <c r="J50" s="50" t="s">
        <v>152</v>
      </c>
    </row>
    <row r="51" spans="2:10" ht="42" customHeight="1">
      <c r="B51" s="63"/>
      <c r="C51" s="67"/>
      <c r="D51" s="46" t="s">
        <v>153</v>
      </c>
      <c r="E51" s="30" t="s">
        <v>25</v>
      </c>
      <c r="F51" s="47">
        <v>1</v>
      </c>
      <c r="G51" s="32" t="s">
        <v>154</v>
      </c>
      <c r="H51" s="8" t="str">
        <f>_xlfn.TEXTJOIN(",",FALSE(),G51,E51,F51)</f>
        <v>Q37,Unknown,1</v>
      </c>
      <c r="J51" s="50" t="s">
        <v>152</v>
      </c>
    </row>
    <row r="52" spans="2:10" ht="42" customHeight="1">
      <c r="B52" s="60" t="s">
        <v>155</v>
      </c>
      <c r="C52" s="61" t="s">
        <v>156</v>
      </c>
      <c r="D52" s="3" t="s">
        <v>157</v>
      </c>
      <c r="E52" s="33" t="s">
        <v>20</v>
      </c>
      <c r="F52" s="48">
        <v>1</v>
      </c>
      <c r="G52" s="8" t="s">
        <v>158</v>
      </c>
      <c r="H52" s="8" t="str">
        <f>_xlfn.TEXTJOIN(",",FALSE(),G52,E52,F52)</f>
        <v>Q38,Yes,1</v>
      </c>
      <c r="I52" s="50" t="s">
        <v>159</v>
      </c>
    </row>
    <row r="53" spans="2:10" ht="42" customHeight="1">
      <c r="B53" s="60"/>
      <c r="C53" s="61"/>
      <c r="D53" s="29" t="s">
        <v>160</v>
      </c>
      <c r="E53" s="30" t="s">
        <v>20</v>
      </c>
      <c r="F53" s="31">
        <v>1</v>
      </c>
      <c r="G53" s="32" t="s">
        <v>161</v>
      </c>
      <c r="H53" s="8" t="str">
        <f>_xlfn.TEXTJOIN(",",FALSE(),G53,E53,F53)</f>
        <v>Q39,Yes,1</v>
      </c>
      <c r="I53" s="50" t="s">
        <v>162</v>
      </c>
    </row>
    <row r="54" spans="2:10" ht="42" customHeight="1">
      <c r="B54" s="60"/>
      <c r="C54" s="61"/>
      <c r="D54" s="5" t="s">
        <v>163</v>
      </c>
      <c r="E54" s="33" t="s">
        <v>20</v>
      </c>
      <c r="F54" s="34">
        <v>0.5</v>
      </c>
      <c r="G54" s="8" t="s">
        <v>164</v>
      </c>
      <c r="H54" s="8" t="str">
        <f>_xlfn.TEXTJOIN(",",FALSE(),G54,E54,F54)</f>
        <v>Q40,Yes,0.5</v>
      </c>
      <c r="I54" s="50" t="s">
        <v>165</v>
      </c>
    </row>
    <row r="55" spans="2:10" ht="42" customHeight="1">
      <c r="B55" s="60"/>
      <c r="C55" s="61"/>
      <c r="D55" s="29" t="s">
        <v>166</v>
      </c>
      <c r="E55" s="30" t="s">
        <v>20</v>
      </c>
      <c r="F55" s="31">
        <v>0.5</v>
      </c>
      <c r="G55" s="32" t="s">
        <v>167</v>
      </c>
      <c r="H55" s="8" t="str">
        <f>_xlfn.TEXTJOIN(",",FALSE(),G55,E55,F55)</f>
        <v>Q41,Yes,0.5</v>
      </c>
      <c r="I55" s="50" t="s">
        <v>168</v>
      </c>
    </row>
    <row r="56" spans="2:10" ht="42" customHeight="1">
      <c r="B56" s="60"/>
      <c r="C56" s="62" t="s">
        <v>169</v>
      </c>
      <c r="D56" s="5" t="s">
        <v>170</v>
      </c>
      <c r="E56" s="33" t="s">
        <v>20</v>
      </c>
      <c r="F56" s="34">
        <v>1</v>
      </c>
      <c r="G56" s="8" t="s">
        <v>171</v>
      </c>
      <c r="H56" s="8" t="str">
        <f>_xlfn.TEXTJOIN(",",FALSE(),G56,E56,F56)</f>
        <v>Q42,Yes,1</v>
      </c>
      <c r="I56" s="50" t="s">
        <v>172</v>
      </c>
    </row>
    <row r="57" spans="2:10" ht="42" customHeight="1">
      <c r="B57" s="60"/>
      <c r="C57" s="62"/>
      <c r="D57" s="29" t="s">
        <v>173</v>
      </c>
      <c r="E57" s="30" t="s">
        <v>25</v>
      </c>
      <c r="F57" s="31">
        <v>1</v>
      </c>
      <c r="G57" s="32" t="s">
        <v>174</v>
      </c>
      <c r="H57" s="8" t="str">
        <f>_xlfn.TEXTJOIN(",",FALSE(),G57,E57,F57)</f>
        <v>Q43,Unknown,1</v>
      </c>
      <c r="I57" s="50" t="s">
        <v>175</v>
      </c>
      <c r="J57" s="50" t="s">
        <v>176</v>
      </c>
    </row>
    <row r="58" spans="2:10" ht="42" customHeight="1">
      <c r="B58" s="60"/>
      <c r="C58" s="62"/>
      <c r="D58" s="4" t="s">
        <v>177</v>
      </c>
      <c r="E58" s="33" t="s">
        <v>20</v>
      </c>
      <c r="F58" s="35">
        <v>1</v>
      </c>
      <c r="G58" s="8" t="s">
        <v>178</v>
      </c>
      <c r="H58" s="8" t="str">
        <f>_xlfn.TEXTJOIN(",",FALSE(),G58,E58,F58)</f>
        <v>Q44,Yes,1</v>
      </c>
      <c r="I58" s="50" t="s">
        <v>179</v>
      </c>
    </row>
    <row r="59" spans="2:10" ht="42" customHeight="1">
      <c r="B59" s="63" t="s">
        <v>180</v>
      </c>
      <c r="C59" s="63" t="s">
        <v>180</v>
      </c>
      <c r="D59" s="36" t="s">
        <v>181</v>
      </c>
      <c r="E59" s="30" t="s">
        <v>52</v>
      </c>
      <c r="F59" s="37">
        <v>1</v>
      </c>
      <c r="G59" s="32" t="s">
        <v>182</v>
      </c>
      <c r="H59" s="8" t="str">
        <f>_xlfn.TEXTJOIN(",",FALSE(),G59,E59,F59)</f>
        <v>Q45,No,1</v>
      </c>
      <c r="I59" s="49" t="s">
        <v>183</v>
      </c>
    </row>
    <row r="60" spans="2:10" ht="42" customHeight="1">
      <c r="B60" s="63"/>
      <c r="C60" s="63"/>
      <c r="D60" s="5" t="s">
        <v>184</v>
      </c>
      <c r="E60" s="33" t="s">
        <v>20</v>
      </c>
      <c r="F60" s="34">
        <v>1</v>
      </c>
      <c r="G60" s="8" t="s">
        <v>185</v>
      </c>
      <c r="H60" s="8" t="str">
        <f>_xlfn.TEXTJOIN(",",FALSE(),G60,E60,F60)</f>
        <v>Q46,Yes,1</v>
      </c>
      <c r="I60" s="50" t="s">
        <v>186</v>
      </c>
      <c r="J60" s="50" t="s">
        <v>187</v>
      </c>
    </row>
    <row r="61" spans="2:10" ht="42" customHeight="1">
      <c r="B61" s="63"/>
      <c r="C61" s="63"/>
      <c r="D61" s="46" t="s">
        <v>188</v>
      </c>
      <c r="E61" s="30" t="s">
        <v>52</v>
      </c>
      <c r="F61" s="47">
        <v>1</v>
      </c>
      <c r="G61" s="32" t="s">
        <v>189</v>
      </c>
      <c r="H61" s="8" t="str">
        <f>_xlfn.TEXTJOIN(",",FALSE(),G61,E61,F61)</f>
        <v>Q47,No,1</v>
      </c>
      <c r="I61" s="50" t="s">
        <v>190</v>
      </c>
      <c r="J61" s="50" t="s">
        <v>191</v>
      </c>
    </row>
    <row r="62" spans="2:10" ht="28.5" customHeight="1"/>
    <row r="63" spans="2:10" ht="28.5" customHeight="1"/>
    <row r="64" spans="2:10" ht="28.5" customHeight="1"/>
    <row r="65" ht="28.5" customHeight="1"/>
    <row r="66" ht="28.5" customHeight="1"/>
    <row r="67" ht="28.5" customHeight="1"/>
    <row r="68" ht="28.5" customHeight="1"/>
    <row r="69" ht="28.5" customHeight="1"/>
    <row r="70" ht="28.5" customHeight="1"/>
    <row r="71" ht="28.5" customHeight="1"/>
    <row r="72" ht="28.5" customHeight="1"/>
    <row r="73" ht="28.5" customHeight="1"/>
    <row r="74" ht="28.5" customHeight="1"/>
    <row r="75" ht="28.5" customHeight="1"/>
    <row r="76" ht="28.5" customHeight="1"/>
    <row r="77" ht="28.5" customHeight="1"/>
    <row r="78" ht="28.5" customHeight="1"/>
    <row r="79" ht="28.5" customHeight="1"/>
    <row r="80" ht="28.5" customHeight="1"/>
    <row r="81" ht="28.5" customHeight="1"/>
    <row r="82" ht="28.5" customHeight="1"/>
    <row r="83" ht="28.5" customHeight="1"/>
    <row r="84" ht="28.5" customHeight="1"/>
    <row r="85" ht="28.5" customHeight="1"/>
    <row r="86" ht="28.5" customHeight="1"/>
    <row r="87" ht="28.5" customHeight="1"/>
    <row r="88" ht="28.5" customHeight="1"/>
    <row r="89" ht="28.5" customHeight="1"/>
    <row r="90" ht="28.5" customHeight="1"/>
    <row r="91" ht="28.5" customHeight="1"/>
    <row r="92" ht="28.5" customHeight="1"/>
    <row r="93" ht="28.5" customHeight="1"/>
    <row r="94" ht="28.5" customHeight="1"/>
    <row r="95" ht="28.5" customHeight="1"/>
    <row r="96" ht="28.5" customHeight="1"/>
    <row r="97" ht="28.5" customHeight="1"/>
    <row r="98" ht="28.5" customHeight="1"/>
    <row r="99" ht="28.5" customHeight="1"/>
    <row r="100" ht="28.5" customHeight="1"/>
    <row r="101" ht="28.5" customHeight="1"/>
    <row r="102" ht="28.5" customHeight="1"/>
    <row r="103" ht="28.5" customHeight="1"/>
    <row r="104" ht="28.5" customHeight="1"/>
    <row r="105" ht="28.5" customHeight="1"/>
    <row r="106" ht="28.5" customHeight="1"/>
    <row r="107" ht="28.5" customHeight="1"/>
    <row r="108" ht="28.5" customHeight="1"/>
    <row r="109" ht="28.5" customHeight="1"/>
    <row r="110" ht="28.5" customHeight="1"/>
    <row r="111" ht="28.5" customHeight="1"/>
    <row r="112" ht="28.5" customHeight="1"/>
    <row r="113" ht="28.5" customHeight="1"/>
    <row r="114" ht="28.5" customHeight="1"/>
    <row r="115" ht="28.5" customHeight="1"/>
    <row r="116" ht="28.5" customHeight="1"/>
    <row r="117" ht="28.5" customHeight="1"/>
    <row r="118" ht="28.5" customHeight="1"/>
    <row r="119" ht="28.5" customHeight="1"/>
    <row r="120" ht="28.5" customHeight="1"/>
    <row r="121" ht="28.5" customHeight="1"/>
    <row r="122" ht="28.5" customHeight="1"/>
    <row r="123" ht="28.5" customHeight="1"/>
    <row r="124" ht="28.5" customHeight="1"/>
    <row r="125" ht="28.5" customHeight="1"/>
    <row r="126" ht="28.5" customHeight="1"/>
    <row r="127" ht="28.5" customHeight="1"/>
    <row r="128" ht="28.5" customHeight="1"/>
    <row r="129" ht="28.5" customHeight="1"/>
    <row r="130" ht="28.5" customHeight="1"/>
    <row r="131" ht="28.5" customHeight="1"/>
    <row r="132" ht="28.5" customHeight="1"/>
    <row r="133" ht="28.5" customHeight="1"/>
    <row r="134" ht="28.5" customHeight="1"/>
    <row r="135" ht="28.5" customHeight="1"/>
    <row r="136" ht="28.5" customHeight="1"/>
    <row r="137" ht="28.5" customHeight="1"/>
    <row r="138" ht="28.5" customHeight="1"/>
    <row r="139" ht="28.5" customHeight="1"/>
    <row r="140" ht="28.5" customHeight="1"/>
    <row r="141" ht="28.5" customHeight="1"/>
    <row r="142" ht="28.5" customHeight="1"/>
    <row r="143" ht="28.5" customHeight="1"/>
    <row r="144" ht="28.5" customHeight="1"/>
    <row r="145" ht="28.5" customHeight="1"/>
    <row r="146" ht="28.5" customHeight="1"/>
    <row r="147" ht="28.5" customHeight="1"/>
    <row r="148" ht="28.5" customHeight="1"/>
    <row r="149" ht="28.5" customHeight="1"/>
    <row r="150" ht="28.5" customHeight="1"/>
    <row r="151" ht="28.5" customHeight="1"/>
    <row r="152" ht="28.5" customHeight="1"/>
    <row r="153" ht="28.5" customHeight="1"/>
    <row r="154" ht="28.5" customHeight="1"/>
    <row r="155" ht="28.5" customHeight="1"/>
    <row r="156" ht="28.5" customHeight="1"/>
    <row r="157" ht="28.5" customHeight="1"/>
    <row r="158" ht="28.5" customHeight="1"/>
    <row r="159" ht="28.5" customHeight="1"/>
    <row r="160" ht="28.5" customHeight="1"/>
    <row r="161" ht="28.5" customHeight="1"/>
    <row r="162" ht="28.5" customHeight="1"/>
    <row r="163" ht="28.5" customHeight="1"/>
    <row r="164" ht="28.5" customHeight="1"/>
    <row r="165" ht="28.5" customHeight="1"/>
    <row r="166" ht="28.5" customHeight="1"/>
    <row r="167" ht="28.5" customHeight="1"/>
    <row r="168" ht="28.5" customHeight="1"/>
    <row r="169" ht="28.5" customHeight="1"/>
    <row r="170" ht="28.5" customHeight="1"/>
    <row r="171" ht="28.5" customHeight="1"/>
    <row r="172" ht="28.5" customHeight="1"/>
    <row r="173" ht="28.5" customHeight="1"/>
    <row r="174" ht="28.5" customHeight="1"/>
    <row r="175" ht="28.5" customHeight="1"/>
    <row r="176" ht="28.5" customHeight="1"/>
    <row r="177" ht="28.5" customHeight="1"/>
    <row r="178" ht="28.5" customHeight="1"/>
    <row r="179" ht="28.5" customHeight="1"/>
    <row r="180" ht="28.5" customHeight="1"/>
    <row r="181" ht="28.5" customHeight="1"/>
    <row r="182" ht="28.5" customHeight="1"/>
    <row r="183" ht="28.5" customHeight="1"/>
    <row r="184" ht="28.5" customHeight="1"/>
    <row r="185" ht="28.5" customHeight="1"/>
    <row r="186" ht="28.5" customHeight="1"/>
    <row r="187" ht="28.5" customHeight="1"/>
    <row r="188" ht="28.5" customHeight="1"/>
    <row r="189" ht="28.5" customHeight="1"/>
    <row r="190" ht="28.5" customHeight="1"/>
    <row r="191" ht="28.5" customHeight="1"/>
    <row r="192" ht="28.5" customHeight="1"/>
    <row r="193" ht="28.5" customHeight="1"/>
    <row r="194" ht="28.5" customHeight="1"/>
    <row r="195" ht="28.5" customHeight="1"/>
    <row r="196" ht="28.5" customHeight="1"/>
    <row r="197" ht="28.5" customHeight="1"/>
    <row r="198" ht="28.5" customHeight="1"/>
  </sheetData>
  <mergeCells count="19">
    <mergeCell ref="B2:F2"/>
    <mergeCell ref="B15:B20"/>
    <mergeCell ref="C15:C18"/>
    <mergeCell ref="C19:C20"/>
    <mergeCell ref="B21:B24"/>
    <mergeCell ref="C21:C24"/>
    <mergeCell ref="B25:B41"/>
    <mergeCell ref="C25:C28"/>
    <mergeCell ref="C29:C31"/>
    <mergeCell ref="C32:C41"/>
    <mergeCell ref="B42:B51"/>
    <mergeCell ref="C42:C44"/>
    <mergeCell ref="C45:C48"/>
    <mergeCell ref="C49:C51"/>
    <mergeCell ref="B52:B58"/>
    <mergeCell ref="C52:C55"/>
    <mergeCell ref="C56:C58"/>
    <mergeCell ref="B59:B61"/>
    <mergeCell ref="C59:C61"/>
  </mergeCells>
  <dataValidations count="1">
    <dataValidation type="list" allowBlank="1" showInputMessage="1" showErrorMessage="1" sqref="E15:E61" xr:uid="{00000000-0002-0000-0000-000000000000}">
      <formula1>"Yes,No,Unknown"</formula1>
      <formula2>0</formula2>
    </dataValidation>
  </dataValidations>
  <hyperlinks>
    <hyperlink ref="B7" r:id="rId1" xr:uid="{00000000-0004-0000-0000-000000000000}"/>
    <hyperlink ref="I18" r:id="rId2" xr:uid="{DF67D8E8-17F7-49F6-B213-1C6E1640BBEA}"/>
    <hyperlink ref="J23" r:id="rId3" display="https://idecv.gov.cv/apps/idecv-visor/explore " xr:uid="{45C00124-7788-4D8C-BF12-2E3BDB3FBA3C}"/>
    <hyperlink ref="I59" r:id="rId4" display="https://faolex.fao.org/docs/pdf/cvi183018.pdf" xr:uid="{6CF840AF-8E63-4F37-9B25-391DE346D826}"/>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VDB</dc:creator>
  <cp:keywords/>
  <dc:description/>
  <cp:lastModifiedBy/>
  <cp:revision>6</cp:revision>
  <dcterms:created xsi:type="dcterms:W3CDTF">2025-11-03T15:08:11Z</dcterms:created>
  <dcterms:modified xsi:type="dcterms:W3CDTF">2026-02-25T12:54:49Z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ActionId">
    <vt:lpwstr>62d7a113-bfc2-40be-a25f-7fd6196ccc61</vt:lpwstr>
  </property>
  <property fmtid="{D5CDD505-2E9C-101B-9397-08002B2CF9AE}" pid="3" name="MSIP_Label_f1bf45b6-5649-4236-82a3-f45024cd282e_ContentBits">
    <vt:lpwstr>2</vt:lpwstr>
  </property>
  <property fmtid="{D5CDD505-2E9C-101B-9397-08002B2CF9AE}" pid="4" name="MSIP_Label_f1bf45b6-5649-4236-82a3-f45024cd282e_Enabled">
    <vt:lpwstr>true</vt:lpwstr>
  </property>
  <property fmtid="{D5CDD505-2E9C-101B-9397-08002B2CF9AE}" pid="5" name="MSIP_Label_f1bf45b6-5649-4236-82a3-f45024cd282e_Method">
    <vt:lpwstr>Standard</vt:lpwstr>
  </property>
  <property fmtid="{D5CDD505-2E9C-101B-9397-08002B2CF9AE}" pid="6" name="MSIP_Label_f1bf45b6-5649-4236-82a3-f45024cd282e_Name">
    <vt:lpwstr>Official Use Only</vt:lpwstr>
  </property>
  <property fmtid="{D5CDD505-2E9C-101B-9397-08002B2CF9AE}" pid="7" name="MSIP_Label_f1bf45b6-5649-4236-82a3-f45024cd282e_SetDate">
    <vt:lpwstr>2025-11-03T15:41:25Z</vt:lpwstr>
  </property>
  <property fmtid="{D5CDD505-2E9C-101B-9397-08002B2CF9AE}" pid="8" name="MSIP_Label_f1bf45b6-5649-4236-82a3-f45024cd282e_SiteId">
    <vt:lpwstr>31a2fec0-266b-4c67-b56e-2796d8f59c36</vt:lpwstr>
  </property>
  <property fmtid="{D5CDD505-2E9C-101B-9397-08002B2CF9AE}" pid="9" name="MSIP_Label_f1bf45b6-5649-4236-82a3-f45024cd282e_Tag">
    <vt:lpwstr>10, 3, 0, 2</vt:lpwstr>
  </property>
</Properties>
</file>